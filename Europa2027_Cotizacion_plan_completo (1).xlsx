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2.xml"/>
  <Override ContentType="application/vnd.openxmlformats-officedocument.drawing+xml" PartName="/xl/drawings/drawing12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Resumen Comparativo" sheetId="1" r:id="rId5"/>
    <sheet state="hidden" name="Instrucciones" sheetId="2" r:id="rId6"/>
    <sheet state="visible" name="Tasas de Cambio" sheetId="3" r:id="rId7"/>
    <sheet state="visible" name="Cotización" sheetId="4" r:id="rId8"/>
    <sheet state="hidden" name="Resumen" sheetId="5" r:id="rId9"/>
    <sheet state="visible" name="Crucero y Zurich" sheetId="6" r:id="rId10"/>
    <sheet state="hidden" name="Resumen CZ" sheetId="7" r:id="rId11"/>
    <sheet state="visible" name="Opción 4 (Múnich)" sheetId="8" r:id="rId12"/>
    <sheet state="hidden" name="Resumen Opción 4" sheetId="9" r:id="rId13"/>
    <sheet state="visible" name="Crucero" sheetId="10" r:id="rId14"/>
    <sheet state="visible" name="Crucero 2P" sheetId="12" r:id="rId16"/>
    <sheet state="hidden" name="Resumen Crucero" sheetId="11" r:id="rId15"/>
  </sheets>
  <definedNames>
    <definedName name="TablaTasas">'Tasas de Cambio'!$B$11:$E$15</definedName>
    <definedName name="NumPersonas">'Tasas de Cambio'!$C$5</definedName>
  </definedNames>
  <calcPr/>
</workbook>
</file>

<file path=xl/sharedStrings.xml><?xml version="1.0" encoding="utf-8"?>
<sst xmlns="http://schemas.openxmlformats.org/spreadsheetml/2006/main" count="1447" uniqueCount="413">
  <si>
    <t>COMPARATIVO DE PLANES — EUROPA 2027</t>
  </si>
  <si>
    <t>3 personas</t>
  </si>
  <si>
    <t>Itinerario</t>
  </si>
  <si>
    <t>Crucero
(11 días)</t>
  </si>
  <si>
    <t>EUROPA 2027 — COTIZACIÓN DE VIAJE</t>
  </si>
  <si>
    <t>TASAS DE CAMBIO Y CONFIGURACIÓN</t>
  </si>
  <si>
    <t>COTIZACIÓN DETALLADA — EUROPA 2027 (30 Abr – 29 May 2027)</t>
  </si>
  <si>
    <t>Crucero y Zurich
(16 días)</t>
  </si>
  <si>
    <t>Cotización
(31 días, plan completo)</t>
  </si>
  <si>
    <t>Opción 4: Múnich
(16 días, 100% cotizado)</t>
  </si>
  <si>
    <t>Ruta</t>
  </si>
  <si>
    <t>Vuelos y Trenes</t>
  </si>
  <si>
    <t>EUR</t>
  </si>
  <si>
    <t>Barcelona → Crucero Mediterráneo → Venecia</t>
  </si>
  <si>
    <t>Traslados</t>
  </si>
  <si>
    <t>Itinerario completo · Del 30 de abril al 29 de mayo de 2027 (30 días / 29 noches) · 3 personas</t>
  </si>
  <si>
    <t>Zúrich → Barcelona → Crucero → Venecia</t>
  </si>
  <si>
    <t>CHF</t>
  </si>
  <si>
    <t>Zúrich → París → Barcelona → Crucero → Venecia → Roma → Praga → Berlín → Múnich</t>
  </si>
  <si>
    <t>Múnich → Barcelona → Crucero → Venecia</t>
  </si>
  <si>
    <t>Fechas</t>
  </si>
  <si>
    <t>5 – 16 mayo 2027</t>
  </si>
  <si>
    <t>Categoría</t>
  </si>
  <si>
    <t>1 – 16 mayo 2027</t>
  </si>
  <si>
    <t>29 abril – 30 mayo 2027</t>
  </si>
  <si>
    <t>Ciudad / País</t>
  </si>
  <si>
    <t>Concepto / Descripción</t>
  </si>
  <si>
    <t>Moneda</t>
  </si>
  <si>
    <t>Costo Unitario
(moneda original)</t>
  </si>
  <si>
    <t>Cantidad</t>
  </si>
  <si>
    <t>Costo Total
(moneda original)</t>
  </si>
  <si>
    <t>CÓMO USAR ESTA PLANTILLA</t>
  </si>
  <si>
    <t>Tasa de
Cambio a COP</t>
  </si>
  <si>
    <t>Costo Total
(COP)</t>
  </si>
  <si>
    <t>Costo por
Persona (COP)</t>
  </si>
  <si>
    <t>Notas</t>
  </si>
  <si>
    <t>Alojamiento</t>
  </si>
  <si>
    <t>CZK</t>
  </si>
  <si>
    <t>CONFIGURACIÓN DEL VIAJE</t>
  </si>
  <si>
    <t>Desglose por categoría (COP)</t>
  </si>
  <si>
    <t>1. Tasas de Cambio</t>
  </si>
  <si>
    <t>Actualiza las tasas de cada moneda a COP (celdas amarillas). Trae valores de referencia de hoy; verifícalos antes de cotizar en firme.</t>
  </si>
  <si>
    <t>2. Config. rápida</t>
  </si>
  <si>
    <t>En la misma hoja, ajusta el número de personas si cambia (por defecto 3) — todo el archivo se recalcula solo.</t>
  </si>
  <si>
    <t>Número de personas</t>
  </si>
  <si>
    <t>3. Cotización</t>
  </si>
  <si>
    <t>Registra cada costo en su MONEDA ORIGINAL (la que te cobra el proveedor: CHF, EUR, CZK, USD o COP). No conviertas manualmente: la hoja lo hace por ti.</t>
  </si>
  <si>
    <t>← editable, usado en toda la hoja Resumen</t>
  </si>
  <si>
    <t>Seguro de Viaje</t>
  </si>
  <si>
    <t>Internacional</t>
  </si>
  <si>
    <t>4. Celdas amarillas</t>
  </si>
  <si>
    <t>29 Abr – 30 May 2027 (31 días de cobertura)</t>
  </si>
  <si>
    <t>Moneda base del reporte</t>
  </si>
  <si>
    <t>Son las únicas que debes llenar: costo unitario, cantidad y moneda. Las demás columnas (totales, conversión) son fórmulas — no las edites.</t>
  </si>
  <si>
    <t>Crucero</t>
  </si>
  <si>
    <t>COP</t>
  </si>
  <si>
    <t>Todos los totales se consolidan en Pesos Colombianos</t>
  </si>
  <si>
    <t>Tours y Excursiones</t>
  </si>
  <si>
    <t>Seguro de viaje / asistencia médica internacional (por persona)</t>
  </si>
  <si>
    <t>Comidas</t>
  </si>
  <si>
    <t>5. Filas ya cargadas</t>
  </si>
  <si>
    <t>Contienen la estructura del itinerario (ciudad, fechas, concepto) para que solo agregues precios. Puedes insertar filas nuevas dentro de cada bloque si necesitas más líneas — copia el formato de una fila existente.</t>
  </si>
  <si>
    <t>Fecha de actualización de tasas</t>
  </si>
  <si>
    <t>24/08/2026</t>
  </si>
  <si>
    <t>Otros y Extras</t>
  </si>
  <si>
    <t>6. Resumen</t>
  </si>
  <si>
    <t>Muestra el total por categoría, el total general y el costo por persona, en COP y en USD, actualizados automáticamente.</t>
  </si>
  <si>
    <t>TOTAL GENERAL (COP)</t>
  </si>
  <si>
    <t>TIPOS DE CAMBIO A PESO COLOMBIANO (COP)</t>
  </si>
  <si>
    <t>TOTAL GENERAL (USD)</t>
  </si>
  <si>
    <t>LEYENDA DE COLORES</t>
  </si>
  <si>
    <t>Código</t>
  </si>
  <si>
    <t>Por persona (COP)</t>
  </si>
  <si>
    <t>Moneda / País(es) donde se usa</t>
  </si>
  <si>
    <t>Símbolo</t>
  </si>
  <si>
    <t>Tasa (1 unidad = X COP)</t>
  </si>
  <si>
    <t>Fuente / Notas</t>
  </si>
  <si>
    <t>Celda para llenar (dato editable: costo, cantidad, moneda, tasa de cambio)</t>
  </si>
  <si>
    <t>Costo por persona (COP)</t>
  </si>
  <si>
    <t>Costo por persona (USD)</t>
  </si>
  <si>
    <t>Euro — Francia, España, Italia, Croacia, Alemania</t>
  </si>
  <si>
    <t>€</t>
  </si>
  <si>
    <t>Costo por persona/día (COP)</t>
  </si>
  <si>
    <t>Fórmula / cálculo automático — no editar</t>
  </si>
  <si>
    <t>Los 4 planes ya están completamente cotizados (sin pendientes). "Crucero" no incluye Zúrich; "Crucero y Zurich" agrega la estadía en Suiza; "Opción 4" reemplaza Zúrich por Múnich (misma duración); "Cotización" es el plan completo de un mes por 9 ciudades.</t>
  </si>
  <si>
    <t>Encabezados y títulos de sección</t>
  </si>
  <si>
    <t>ESTRUCTURA DEL ARCHIVO</t>
  </si>
  <si>
    <t>Xe.com, referencial 24-ago-2026</t>
  </si>
  <si>
    <t>Tasas de Cambio</t>
  </si>
  <si>
    <t>Tipos de cambio y número de personas (parámetros del archivo).</t>
  </si>
  <si>
    <t>Franco suizo — Suiza</t>
  </si>
  <si>
    <t>Cotización</t>
  </si>
  <si>
    <t>Detalle línea por línea de todo el itinerario: vuelos, trenes, alojamiento, crucero, tours, comidas, seguro y extras.</t>
  </si>
  <si>
    <t>Corona checa — República Checa</t>
  </si>
  <si>
    <t>Kč</t>
  </si>
  <si>
    <t>Resumen</t>
  </si>
  <si>
    <t>Tablero con totales por categoría, total general y costo por persona (COP y USD).</t>
  </si>
  <si>
    <t>USD</t>
  </si>
  <si>
    <t>Dólar estadounidense — vuelos internacionales / referencia</t>
  </si>
  <si>
    <t>US$</t>
  </si>
  <si>
    <t>Peso colombiano — Colombia (moneda base)</t>
  </si>
  <si>
    <t>$</t>
  </si>
  <si>
    <t>Moneda base — no requiere conversión</t>
  </si>
  <si>
    <t>⚠ Actualiza estas 5 celdas amarillas con la tasa del día antes de enviar la cotización final al cliente. Toda la hoja 'Cotización' y 'Resumen' se recalcula automáticamente.</t>
  </si>
  <si>
    <t>Nota: las tasas de cambio precargadas son referenciales (agosto 2026, fuente Xe.com). Los precios de vuelos, hoteles, crucero y tours NO están incluidos — debes cotizarlos con tus proveedores y digitarlos en la hoja 'Cotización'.</t>
  </si>
  <si>
    <t>Noma 90K, plan para 3 personas. Cobertura: asistencia médica USD $90.000, extravío de equipaje USD $1.000, asistencia médica deportiva USD $3.000, gastos por vuelo cancelado USD $400, preexistencias USD $1.000, medicamentos recetados incluidos. Precio con 23% dto: $760.054 COP (antes $987.083).</t>
  </si>
  <si>
    <t>Bogota / Zúrich</t>
  </si>
  <si>
    <t>30 Abr 2027</t>
  </si>
  <si>
    <t>Vuelo internacional Bogotá → Zúrich (ida)</t>
  </si>
  <si>
    <t>Lufthansa, sale jue 29 abr 23:30 BOG, llega vie 30 abr 21:40 ZRH (+1 día, vía FRA, 3h35m), 15h10m total, Economy Comfort. Total ida+regreso $3.772.030 COP/persona, dividido entre los 2 tramos.</t>
  </si>
  <si>
    <t>Suiza</t>
  </si>
  <si>
    <t>Traslado aeropuerto → hotel, Zúrich</t>
  </si>
  <si>
    <t>Estimado: Uber X / taxi, CHF 45 (Kloten → Schimmelstrasse 6, ~15 min en auto). Taxi normal: CHF 50-70.</t>
  </si>
  <si>
    <t>Zúrich, Suiza</t>
  </si>
  <si>
    <t>30 Abr – 3 May (3 noches)</t>
  </si>
  <si>
    <t>Hotel Zúrich — costo por noche</t>
  </si>
  <si>
    <t>CHF 600 total por las 3 noches (200/noche)</t>
  </si>
  <si>
    <t>—</t>
  </si>
  <si>
    <t>Contingencia</t>
  </si>
  <si>
    <t>Imprevistos / gastos varios (contingencia)</t>
  </si>
  <si>
    <t>Aplica solo al plan corto — revisar si alcanza para 30 días</t>
  </si>
  <si>
    <t>Durante el viaje</t>
  </si>
  <si>
    <t>SIM card de viaje (datos internacionales)</t>
  </si>
  <si>
    <t/>
  </si>
  <si>
    <t>Zurich</t>
  </si>
  <si>
    <t>1 May 2027</t>
  </si>
  <si>
    <t>Comida del día (almuerzo y cena)</t>
  </si>
  <si>
    <t>NUEVO - falta cotizar</t>
  </si>
  <si>
    <t>City Tour, Cruise en el lago y Lindt Home of Chocolate</t>
  </si>
  <si>
    <t>Recomendado (4.5★, +4600 reseñas) - tour de medio día | https://www.getyourguide.com/zurich-l55/zurich-city-tour-with-cruise-chocolate-t75865/</t>
  </si>
  <si>
    <t>2 May 2027</t>
  </si>
  <si>
    <t>Excursión Jungfraujoch (tren panorámico, por persona)</t>
  </si>
  <si>
    <t>Recomendado - tour guiado de día completo desde Zúrich (12h, incl. transporte y entrada Top of Europe) | https://www.travelocity.com/things-to-do/jungfraujoch-top-of-europe-tour-from-zurich.a290361.activity-details</t>
  </si>
  <si>
    <t>Zúrich / París</t>
  </si>
  <si>
    <t>3 May 2027</t>
  </si>
  <si>
    <t>Transporte Zúrich → París (tren o vuelo interno)</t>
  </si>
  <si>
    <t>Tren TGV Lyria, Zúrich HB → París Gare de Lyon, directo, ~4h. Sin límite de peso de equipaje (solo restricción de tamaño 130x90cm) - incluye maleta de mano y facturada sin cargo extra. https://www.sncf-connect.com/en-en/tgv-lyria/route/zurich/paris</t>
  </si>
  <si>
    <t>Traslado hotel → estación/aeropuerto, Zúrich</t>
  </si>
  <si>
    <t>Si van en TREN a París: hotel está a 1,1 km de Zürich HB (junto a estación Wiedikon), Uber ~CHF 10-15. Si van en VUELO: sería ~CHF 45 al aeropuerto. Dejé el valor de tren (más barato) - avísame si es vuelo.</t>
  </si>
  <si>
    <t>Francia</t>
  </si>
  <si>
    <t>Traslado estación/aeropuerto → hotel, París</t>
  </si>
  <si>
    <t>Estimado: Uber/taxi desde Gare de Lyon (llegada en tren) al hotel, ~15-20 min, €15-20.</t>
  </si>
  <si>
    <t>París, Francia</t>
  </si>
  <si>
    <t>3 – 6 May (3 noches)</t>
  </si>
  <si>
    <t>Hotel París — costo por noche</t>
  </si>
  <si>
    <t>Recomendado: Hôtel Augustin - Astotel, boutique 4*, a 1 min de Boulevard Haussmann y 500m de Gare Saint-Lazare (zona Opéra/Grands Boulevards, muy céntrica y bien conectada). Cadena Astotel, buena calificación en Booking (~8.5+). https://www.booking.com/budget/city/fr/paris.en-gb.html</t>
  </si>
  <si>
    <t>París</t>
  </si>
  <si>
    <t>4 May 2027</t>
  </si>
  <si>
    <t>Entrada Disneyland Paris — 1 día / 2 parques</t>
  </si>
  <si>
    <t>Recomendado: Ticket 1 día / 2 parques, tarifa media temporada. https://www.attractiontickets.com/en/paris-attraction-tickets/disneyland-paris-tickets/1-day-2-parks-disneyland-paris-hopper-ticket</t>
  </si>
  <si>
    <t>5 May 2027</t>
  </si>
  <si>
    <t>Crucero por el Sena</t>
  </si>
  <si>
    <t>Recomendado: Crucero panorámico Bateaux Mouches, 1h10m. https://ryo.co/en/articles/france/paris/how-to-take-seine-cruise-paris/</t>
  </si>
  <si>
    <t>París / Barcelona</t>
  </si>
  <si>
    <t>6 May 2027</t>
  </si>
  <si>
    <t>Vuelo interno París → Barcelona</t>
  </si>
  <si>
    <t>Vuelo Vueling, París (CDG/ORY) → Barcelona, directo, ~1h40m. Incluye 1 maleta de mano + 1 facturada (23kg). https://www.omio.com/flights/paris/barcelona</t>
  </si>
  <si>
    <t>Traslado hotel → aeropuerto, París</t>
  </si>
  <si>
    <t>Estimado: Uber/taxi al aeropuerto (CDG/Orly), ~45-60 min, €45-60.</t>
  </si>
  <si>
    <t>España</t>
  </si>
  <si>
    <t>Traslado aeropuerto → hotel, Barcelona</t>
  </si>
  <si>
    <t>RESUMEN DE COTIZACIÓN — EUROPA 2027</t>
  </si>
  <si>
    <t>30 de abril al 29 de mayo de 2027 · 30 días / 29 noches</t>
  </si>
  <si>
    <t>TOTAL POR CATEGORÍA</t>
  </si>
  <si>
    <t>Barcelona, España</t>
  </si>
  <si>
    <t>6 – 8 May (2 noches, pre-crucero)</t>
  </si>
  <si>
    <t>Hotel Barcelona — costo por noche</t>
  </si>
  <si>
    <t>Total (COP)</t>
  </si>
  <si>
    <t>Total (USD)</t>
  </si>
  <si>
    <t>% del total</t>
  </si>
  <si>
    <t>(520 EUR total / 2 noches)</t>
  </si>
  <si>
    <t>Barcelona</t>
  </si>
  <si>
    <t>cena</t>
  </si>
  <si>
    <t>7 May 2027</t>
  </si>
  <si>
    <t>Bus, 4 trayectos</t>
  </si>
  <si>
    <t>Free tour x2</t>
  </si>
  <si>
    <t>3 comidas</t>
  </si>
  <si>
    <t>TOTAL GENERAL</t>
  </si>
  <si>
    <t>COSTO POR PERSONA</t>
  </si>
  <si>
    <t>8 May 2027</t>
  </si>
  <si>
    <t>Traslado hotel → puerto (embarque crucero), Barcelona</t>
  </si>
  <si>
    <t>Costo promedio por persona / día (COP)</t>
  </si>
  <si>
    <t>Mediterráneo</t>
  </si>
  <si>
    <t>8 – 15 May (7 noches)</t>
  </si>
  <si>
    <t>Crucero Barcelona → Ravena — tarifa por persona (cabina)</t>
  </si>
  <si>
    <t>TASAS DE CAMBIO UTILIZADAS</t>
  </si>
  <si>
    <t>Tasa a COP</t>
  </si>
  <si>
    <t>Incluye propinas</t>
  </si>
  <si>
    <t>N/A (día de embarque)</t>
  </si>
  <si>
    <t>desayuno</t>
  </si>
  <si>
    <t>Cifras referenciales — sujetas a disponibilidad, temporada y tasa de cambio del día de pago. Documento generado como herramienta de cotización, no constituye una tarifa garantizada.</t>
  </si>
  <si>
    <t>Navegación</t>
  </si>
  <si>
    <t>9 May 2027</t>
  </si>
  <si>
    <t>N/A (día de navegación)</t>
  </si>
  <si>
    <t>La Spezia (Florencia/Pisa)</t>
  </si>
  <si>
    <t>10 May 2027</t>
  </si>
  <si>
    <t>Panoramic Pisa (SPANISH LANGUAGE ONLY)</t>
  </si>
  <si>
    <t>Comida</t>
  </si>
  <si>
    <t>Civitavecchia (Roma)</t>
  </si>
  <si>
    <t>11 May 2027</t>
  </si>
  <si>
    <t>Visit to Rome (SPANISH LANGUAGE ONLY) - excursión de un día desde el crucero</t>
  </si>
  <si>
    <t>Salerno (Costa Amalfitana)</t>
  </si>
  <si>
    <t>12 May 2027</t>
  </si>
  <si>
    <t>Tour a pie gratis</t>
  </si>
  <si>
    <t>Incluida en el crucero (come a bordo)</t>
  </si>
  <si>
    <t>13 May 2027</t>
  </si>
  <si>
    <t>Zadar, Croacia</t>
  </si>
  <si>
    <t>14 May 2027</t>
  </si>
  <si>
    <t>Transporte - tour a pie gratis</t>
  </si>
  <si>
    <t>Italia</t>
  </si>
  <si>
    <t>15 May 2027</t>
  </si>
  <si>
    <t>Traslado puerto → hotel (desembarque), Venecia</t>
  </si>
  <si>
    <t>Venecia, Italia</t>
  </si>
  <si>
    <t>15 – 16 May (1 noche, post-crucero)</t>
  </si>
  <si>
    <t>Hotel Venecia — costo por noche</t>
  </si>
  <si>
    <t>Rávena (Venecia)</t>
  </si>
  <si>
    <t>Almuerzo y cena</t>
  </si>
  <si>
    <t>16 May 2027</t>
  </si>
  <si>
    <t>Tren Venecia → Roma</t>
  </si>
  <si>
    <t>Tren de alta velocidad Frecciarossa/Italo, Venecia Santa Lucia → Roma Termini, directo, ~3h40m. Sin cargo por equipaje (maleta de mano + facturada incluidas). https://www.italotreno.com/en/destinations-timetable/venice-rome-tickets</t>
  </si>
  <si>
    <t>Traslado hotel → estación (tren a Roma), Venecia</t>
  </si>
  <si>
    <t>Estimado: vaporetto/water taxi compartido a la estación Santa Lucia (en Venecia no circulan autos), ~€20 total para el grupo con equipaje.</t>
  </si>
  <si>
    <t>Traslado estación → hotel, Roma</t>
  </si>
  <si>
    <t>Estimado: Uber/taxi desde Roma Termini al hotel (zona Coliseo/Monti), ~10-15 min, €15-20.</t>
  </si>
  <si>
    <t>Roma, Italia</t>
  </si>
  <si>
    <t>16 – 19 May (3 noches)</t>
  </si>
  <si>
    <t>Hotel Roma — costo por noche</t>
  </si>
  <si>
    <t>Recomendado: TSUKI House, 3*, a pocos pasos del Coliseo (zona Monti/Colosseo). Calificación 9.7/10 en Booking, €65/noche - una de las mejores relaciones calidad-precio de la zona. https://visitrome.com/rome/best/hotels-near-colosseum-guide</t>
  </si>
  <si>
    <t>Venecia</t>
  </si>
  <si>
    <t>Free tour</t>
  </si>
  <si>
    <t>Desayuno y Almuerzo</t>
  </si>
  <si>
    <t>Roma</t>
  </si>
  <si>
    <t>17 May 2027</t>
  </si>
  <si>
    <t>Coliseo, Foro Romano y Palatino - tour guiado</t>
  </si>
  <si>
    <t>Recomendado - tour guiado pequeño grupo, entrada incluida | https://www.viator.com/tours/Rome/Rome-Colosseum-Roman-Forum-and-Palatine-Hill-Guided-Tour/d511-15932P15</t>
  </si>
  <si>
    <t>17 – 18 May (2 días)</t>
  </si>
  <si>
    <t>18 May 2027</t>
  </si>
  <si>
    <t>Museos Vaticanos y Capilla Sixtina - tour guiado</t>
  </si>
  <si>
    <t>Recomendado - entrada sin fila + guía | https://www.viator.com/tours/Rome/Skip-the-Line-Group-Tour-of-the-Vatican-Sistine-Chapel-and-St-Peters-Basilica/d511-120123P3</t>
  </si>
  <si>
    <t>Italia / Rep. Checa</t>
  </si>
  <si>
    <t>19 May 2027</t>
  </si>
  <si>
    <t>Vuelo interno Roma → Praga</t>
  </si>
  <si>
    <t>Vuelo low-cost (Wizz Air/Ryanair), Roma → Praga, directo, ~2h. Incluye maleta de mano + 1 facturada (23kg) - tarifa básica no las incluye, hay que sumarlas. https://www.wizzair.com/en-gb/cheap-flights-from-rome-to-prague</t>
  </si>
  <si>
    <t>Traslado hotel → aeropuerto, Roma</t>
  </si>
  <si>
    <t>Estimado: Uber/taxi al aeropuerto de Fiumicino, ~45-50 min, €50-60.</t>
  </si>
  <si>
    <t>Rep. Checa</t>
  </si>
  <si>
    <t>Traslado aeropuerto → hotel, Praga</t>
  </si>
  <si>
    <t>Estimado: Uber/taxi desde el aeropuerto de Praga al hotel (Nové Město), ~20-25 min, €25-30.</t>
  </si>
  <si>
    <t>Praga, Rep. Checa</t>
  </si>
  <si>
    <t>19 – 22 May (3 noches)</t>
  </si>
  <si>
    <t>Hotel Praga — costo por noche</t>
  </si>
  <si>
    <t>Recomendado: Mosaic House Design Hotel, Odborů 4, Praga 2 (Nové Město / Ciudad Nueva), a 10 min caminando de la Plaza de la Ciudad Vieja. Calificación ~8.5/10 en Booking, buena relación precio-ubicación. https://www.helloprague.net/budget-hotels-prague/</t>
  </si>
  <si>
    <t>20 May 2027</t>
  </si>
  <si>
    <t>Castillo de Praga + Puente de Carlos con guía</t>
  </si>
  <si>
    <t>Recomendado: Tour guiado interiores (Salón Dorado, Catedral San Vito, Basílica San Jorge, Palacio Real Viejo), incluye entradas. https://www.tours-prague.eu/tour-castleinter.phtml</t>
  </si>
  <si>
    <t>Praga</t>
  </si>
  <si>
    <t>20 – 21 May (2 días)</t>
  </si>
  <si>
    <t>21 May 2027</t>
  </si>
  <si>
    <t>Crucero por el río Moldava</t>
  </si>
  <si>
    <t>Recomendado: Crucero panorámico 1h por el Moldava. https://www.viator.com/tours/Prague/Panoramic-Vltava-River-Cruise/d462-10919P19</t>
  </si>
  <si>
    <t>Rep. Checa / Alemania</t>
  </si>
  <si>
    <t>22 May 2027</t>
  </si>
  <si>
    <t>Tren Praga → Berlín</t>
  </si>
  <si>
    <t>Tren EuroCity, Praga → Berlín Hbf, directo, ~4h. Sin cargo por equipaje (maleta de mano + facturada incluidas). https://rail.cc/train/prague-to-berlin</t>
  </si>
  <si>
    <t>Traslado estación → hotel, Berlín</t>
  </si>
  <si>
    <t>Estimado: Uber/taxi desde Berlín Hbf al hotel (Alexanderplatz/Mitte), ~15 min, €15-20.</t>
  </si>
  <si>
    <t>Berlín, Alemania</t>
  </si>
  <si>
    <t>22 – 25 May (3 noches)</t>
  </si>
  <si>
    <t>Hotel Berlín — costo por noche</t>
  </si>
  <si>
    <t>Recomendado: Motel One Berlin-Alexanderplatz, Mitte, muy cerca de Alexanderplatz y bien conectado en metro/tren. Calificación 9.2/10 en Booking - excelente para el precio. https://www.expedia.com/Mitte-Berlin-Hotels-Cheap-Hotels.0-n178779-0-tCheapHotels.Travel-Guide-Filter-Hotels</t>
  </si>
  <si>
    <t>Alemania</t>
  </si>
  <si>
    <t>23 May 2027</t>
  </si>
  <si>
    <t>Tour histórico Berlín (Muro, Reichstag, East Side Gallery)</t>
  </si>
  <si>
    <t>Recomendado: Tour a pie medio día, Muro/Reichstag/East Side Gallery. https://www.viator.com/Berlin-attractions/Berlin-Wall/d488-a637</t>
  </si>
  <si>
    <t>Berlín</t>
  </si>
  <si>
    <t>23 – 24 May (2 días)</t>
  </si>
  <si>
    <t>COTIZACIÓN DETALLADA — EUROPA 2027 (01 May – 16 May 2027)</t>
  </si>
  <si>
    <t>24 May 2027</t>
  </si>
  <si>
    <t>Isla de los Museos - tour guiado (Pérgamo, Neues Museum, etc.)</t>
  </si>
  <si>
    <t>Recomendado - día completo de 5 museos, mejor con guía | https://www.getyourguide.com/museum-island-l3075/</t>
  </si>
  <si>
    <t>25 May 2027</t>
  </si>
  <si>
    <t>Tren de alta velocidad Berlín → Múnich</t>
  </si>
  <si>
    <t>Tren ICE (Intercity Express), Berlín Hbf → Múnich Hbf, directo, ~3h53m. Sin cargo por equipaje (maleta de mano + facturada incluidas). https://rail.cc/train/berlin-to-munich</t>
  </si>
  <si>
    <t>Traslado estación → hotel, Múnich</t>
  </si>
  <si>
    <t>Estimado: el hotel está muy cerca de la Estación Central, Uber corto o caminando, €8-12.</t>
  </si>
  <si>
    <t>Múnich, Alemania</t>
  </si>
  <si>
    <t>25 – 30 May (5 noches)</t>
  </si>
  <si>
    <t>Hotel Múnich — costo por noche</t>
  </si>
  <si>
    <t>Recomendado: Eden Hotel Wolff, cerca de la Estación Central de Múnich (Hauptbahnhof), ~10-15 min a pie o en tranvía a Marienplatz. 4*, buena relación calidad-precio según reseñas. https://www.travelocity.com/Marienplatz-Hotels.0-l508534-0.Travel-Guide-Filter-Hotels</t>
  </si>
  <si>
    <t>26 May 2027</t>
  </si>
  <si>
    <t>Tour a pie Múnich (Marienplatz, Jardín Inglés)</t>
  </si>
  <si>
    <t>Recomendado: Tour a pie 2h, Marienplatz + Jardín Inglés. https://www.travelersuniverse.com/munich-city-marienplatz-and-english-garden-walking-tour/</t>
  </si>
  <si>
    <t>Múnich</t>
  </si>
  <si>
    <t>26 – 28 May (3 días)</t>
  </si>
  <si>
    <t>Lufthansa, sale vie 30 abr 23:30 BOG, llega sáb 1 may 19:15 ZRH (vía FRA), 12h45m, Economy Light. Total ida+regreso $3.114.080 COP/persona, dividido entre los 2 tramos.</t>
  </si>
  <si>
    <t>27 May 2027</t>
  </si>
  <si>
    <t>Excursión Castillo de Neuschwanstein</t>
  </si>
  <si>
    <t>Estimado: Uber X / taxi Zúrich, CHF 45 aprox. (aeropuerto-centro ~20-25 min, 1 carro para el grupo). Taxi normal: CHF 50-70.</t>
  </si>
  <si>
    <t>1 May – 6 May (5 noches)</t>
  </si>
  <si>
    <t>Hotel Zúrich — costo por noche (todas las habitaciones)</t>
  </si>
  <si>
    <t>1 – 16 may 2027 (16 días de cobertura)</t>
  </si>
  <si>
    <t>Recomendado: Excursión de día completo desde Múnich, incluye transporte + guía + entrada al castillo. https://www.machupicchu.org/best-neuschwanstein-castle-tours-2026-complete-guide.htm</t>
  </si>
  <si>
    <t>28 May 2027</t>
  </si>
  <si>
    <t>Museo BMW + Parque Olímpico</t>
  </si>
  <si>
    <t>Recomendado - alternativa: Memorial de Dachau (medio día, tour serio/histórico) | https://www.getyourguide.com/bmw-museum-l3579/</t>
  </si>
  <si>
    <t>Alemania / Colombia</t>
  </si>
  <si>
    <t>30 May 2027</t>
  </si>
  <si>
    <t>Vuelo internacional Múnich → Bogotá (regreso)</t>
  </si>
  <si>
    <t>Lufthansa, sale dom 30 may 12:00 MUC, llega 18:55 BOG (vía FRA, 1h45m), 13h55m total, Economy Comfort. Total ida+regreso $3.772.030 COP/persona, dividido entre los 2 tramos.</t>
  </si>
  <si>
    <t>Traslado hotel → aeropuerto, Múnich</t>
  </si>
  <si>
    <t>Estimado: Uber/taxi al aeropuerto MUC, ~45 min, €70-90.</t>
  </si>
  <si>
    <t>Estimado: ~CHF 55/persona/día (almuerzo+cena), según guías de presupuesto Suiza 2026</t>
  </si>
  <si>
    <t>Mount Pilatus &amp; Lucerne - excursión de un día (cogwheel + góndola + crucero lago)</t>
  </si>
  <si>
    <t>Recomendado (Viator, 980+ reseñas) | https://www.viator.com/tours/Zurich/Mount-Pilatus-Summer-Day-Trip-from-Zurich/d577-3885SW304BS</t>
  </si>
  <si>
    <t>Grindelwald, Interlaken y Lauterbrunnen - excursión de un día</t>
  </si>
  <si>
    <t>Recomendado (4.5★, 152 reseñas) | https://www.getyourguide.com/zurich-l55/zurich-day-trip-to-grindelwald-interlaken-lauterbrunnen-t42647/</t>
  </si>
  <si>
    <t>Cataratas del Rin (Schaffhausen) - excursión de medio día</t>
  </si>
  <si>
    <t>Recomendado - las cataratas más grandes de Europa | https://www.viator.com/tours/Zurich/Rhine-Falls-and-Stein-am-Rhein-Half-Day-Tour-from-Zurich/d577-3885RHINESTEIN</t>
  </si>
  <si>
    <t>Hotel Barcelona — costo por noche (todas las habitaciones)</t>
  </si>
  <si>
    <t>Zúrich / Barcelona</t>
  </si>
  <si>
    <t>Vuelo Swiss Int. Air Lines Zúrich → Barcelona, directo</t>
  </si>
  <si>
    <t>Jue 6 may, sale 07:10 ZRH, llega 08:50 BCN, directo (1h40m), Economy Light</t>
  </si>
  <si>
    <t>Traslado hotel → aeropuerto, Zúrich</t>
  </si>
  <si>
    <t>Traslado aeropuerto → hotel Barcelona</t>
  </si>
  <si>
    <t>free tour *2</t>
  </si>
  <si>
    <t>bus 4 trayectos</t>
  </si>
  <si>
    <t>N/A</t>
  </si>
  <si>
    <t>Navegacion</t>
  </si>
  <si>
    <t xml:space="preserve">Panoramic Pisa (SPANISH LANGUAGE ONLY)
</t>
  </si>
  <si>
    <t>Visit to Rome (SPANISH LANGUAGE ONLY)</t>
  </si>
  <si>
    <t>Estimado: ~€20/persona (comida en tierra, Costa Amalfitana)</t>
  </si>
  <si>
    <t>Transporte - Tour a pie gratis</t>
  </si>
  <si>
    <t>Estimado: ~€18/persona (comida en tierra, Zadar)</t>
  </si>
  <si>
    <t>Hotel Venecia — costo por noche (todas las habitaciones)</t>
  </si>
  <si>
    <t>Venecia / Bogota</t>
  </si>
  <si>
    <t>Vuelo internacional Venecia → Bogotá (regreso)</t>
  </si>
  <si>
    <t>Lufthansa, sale dom 16 may 10:55 VCE, llega 18:55 BOG (vía FRA), 15h00m, Economy Light. Total ida+regreso $3.114.080 COP/persona, dividido entre los 2 tramos.</t>
  </si>
  <si>
    <t>Traslado hotel → aeropuerto, Venecia</t>
  </si>
  <si>
    <t>free tour</t>
  </si>
  <si>
    <t xml:space="preserve">1 de mayo al 16 de mayo de 2027 · 16 días </t>
  </si>
  <si>
    <t>COTIZACIÓN DETALLADA — EUROPA 2027 (01 May – 16 May 2027) — OPCIÓN 4: MÚNICH en vez de ZÚRICH</t>
  </si>
  <si>
    <t>Bogota / Múnich</t>
  </si>
  <si>
    <t>Vuelo internacional Bogotá → Múnich (ida)</t>
  </si>
  <si>
    <t>Lufthansa, sale vie 30 abr 23:30 BOG, llega sáb 1 may 20:10 MUC (+1 día, vía FRA, 2h05m), 13h40m total, Economy Light. Total ida+regreso $2.871.270 COP/persona, dividido entre los 2 tramos.</t>
  </si>
  <si>
    <t>Traslado aeropuerto → hotel, Múnich</t>
  </si>
  <si>
    <t>Estimado: Uber X/taxi, aeropuerto MUC → centro, ~45 min, €70-90 (1 carro para el grupo).</t>
  </si>
  <si>
    <t>Hotel Múnich — costo por noche (todas las habitaciones)</t>
  </si>
  <si>
    <t>Recomendado: Eden Hotel Wolff, cerca de la Estación Central, ~10-15 min a Marienplatz. €130/noche aprox.</t>
  </si>
  <si>
    <t>Zugspitze, Eibsee, Highline179 &amp; Neuschwanstein Tour (privado)</t>
  </si>
  <si>
    <t>Tour privado 12h, guía en inglés, dom 2 may 8:00am, para el grupo de 3. Incluye Zugspitze, lago Eibsee, puente Highline179 y Castillo de Neuschwanstein. Col$2.690.900 total (3 participantes).</t>
  </si>
  <si>
    <t>Recomendado: tour a pie 2h. https://www.travelersuniverse.com/munich-city-marienplatz-and-english-garden-walking-tour/</t>
  </si>
  <si>
    <t>Estimado: ~€40/persona/día (almuerzo+cena)</t>
  </si>
  <si>
    <t>Excursión de un día a Salzburgo, Austria</t>
  </si>
  <si>
    <t>Recomendado: tour guiado en tren, incluye transporte + guía. https://www.getyourguide.com/munich-l26/salzburg-day-trip-from-munich-by-train-t24230/</t>
  </si>
  <si>
    <t>Recomendado: entrada museo + parque. https://www.getyourguide.com/bmw-museum-l3579/</t>
  </si>
  <si>
    <t>Múnich / Barcelona</t>
  </si>
  <si>
    <t>Vuelo Múnich → Barcelona, directo</t>
  </si>
  <si>
    <t>Lufthansa City Airlines, jue 6 may 06:15 MUC → 08:25 BCN, directo, 2h10m, Economy Basic. Asumido por persona (confirmar si es total).</t>
  </si>
  <si>
    <t>Estimado: Uber X/taxi, centro → aeropuerto MUC, ~45 min, €70-90 (1 carro para el grupo).</t>
  </si>
  <si>
    <t>Lufthansa, sale dom 16 may 10:55 VCE, llega 18:55 BOG (vía FRA, 2h20m), 15h00m total, Economy Light. Total ida+regreso $2.871.270 COP/persona, dividido entre los 2 tramos.</t>
  </si>
  <si>
    <t>1 de mayo al 16 de mayo de 2027 · 16 días (Opción Múnich en vez de Zúrich)</t>
  </si>
  <si>
    <t>COTIZACIÓN DETALLADA — EUROPA 2027 (05 May – 16 May 2027)</t>
  </si>
  <si>
    <t>5 – 16 may 2027 (12 días de cobertura)</t>
  </si>
  <si>
    <t>Bogota / Barcelona</t>
  </si>
  <si>
    <t>Vuelo Lufthansa Bogotá → Barcelona (vía FRA), ida</t>
  </si>
  <si>
    <t>Lufthansa · BOG 23:30 → BCN 23:05 (+1 día) · 1 escala (FRA) · Duración 16h35m · Economy Light. https://shop.lufthansa.com/booking/cart?cartId=1EA66RSYEOGDFEB1&amp;type=cart&amp;shared=true&amp;origin=BOG&amp;utm_source=sharedcart&amp;utm_medium=referral&amp;consent=true</t>
  </si>
  <si>
    <t>Vuelo Lufthansa Venecia → Bogotá (vía FRA), regreso</t>
  </si>
  <si>
    <t>Lufthansa · VCE 10:55 → BOG 18:55 · 1 escala (FRA) · Duración 15h00m · Economy Light. https://shop.lufthansa.com/booking/cart?cartId=1EA66RSYEOGDFEB1&amp;type=cart&amp;shared=true&amp;origin=BOG&amp;utm_source=sharedcart&amp;utm_medium=referral&amp;consent=true</t>
  </si>
  <si>
    <t>5 de mayo al 16 de mayo de 2027 · 11 días</t>
  </si>
  <si>
    <t>29 May 2027</t>
  </si>
  <si>
    <t>SIM compartida entre las 3 personas para los 11 días del crucero. https://esim.holafly.com/es/esim-europa/?selectedDays=11&amp;startDate=2027-05-06&amp;endDate=2027-05-16</t>
  </si>
  <si>
    <t>SIM compartida entre las 3 personas para los 16 días del viaje. https://esim.holafly.com/es/esim-europa/?selectedDays=16&amp;startDate=2027-05-01&amp;endDate=2027-05-16</t>
  </si>
  <si>
    <t>SIM compartida entre las 3 personas para 17 días del viaje. https://esim.holafly.com/es/esim-europa/?selectedDays=17&amp;startDate=2027-04-30&amp;endDate=2027-05-16</t>
  </si>
  <si>
    <t>Fecha confirmación precio</t>
  </si>
  <si>
    <t>27 ago 2026</t>
  </si>
  <si>
    <t>Asistencia médica internacional, cobertura USD 60.000 (Cuponatic). https://www.cuponatic.com.co/descuento/asistencia-medica-internacional-cobertura-de-usd-60-000?m=tarjetas-de-asistencia&amp;id_descuento=212587</t>
  </si>
  <si>
    <t>Asistencia médica internacional</t>
  </si>
  <si>
    <t>Sagrada Familia, 2 noches (6-8 may), 3 personas.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</si>
  <si>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Hotel Barcelona — costo total (2 noches, 1 habitación)</t>
  </si>
  <si>
    <t>Hotel Barcelona — costo total (2 noches)</t>
  </si>
  <si>
    <t>Sagrada Familia, 2 noches (6-8 may). https://www.booking.com/hotel/es/sagradafamilia.es.html?aid=2311236&amp;label=es-co-booking-desktop-vjGZbEFOhRc3a9njxeT3IwS652829002024%3Apl%3Ata%3Ap1%3Ap2%3Aac%3Aap%3Aneg%3Afi%3Atikwd-65526620%3Alp9246960%3Ali%3Adec%3Adm&amp;sid=f6a1a9bb810c453f7b5f1225205f1f26&amp;all_sr_blocks=9118812_91908190_0_2_0&amp;checkin=2027-05-06&amp;checkout=2027-05-08&amp;dest_id=-372490&amp;dest_type=city&amp;dist=0&amp;group_adults=3&amp;group_children=0&amp;hapos=1&amp;highlighted_blocks=9118812_91908190_0_2_0&amp;hpos=1&amp;matching_block_id=9118812_91908190_0_2_0&amp;no_rooms=1&amp;req_adults=3&amp;req_children=0&amp;room1=A%2CA%2CA&amp;sb_price_type=total&amp;sr_order=popularity&amp;sr_pri_blocks=9118812_91908190_0_2_0__37600&amp;srepoch=1787875557&amp;srpvid=a2d600b07c230149&amp;type=total&amp;ucfs=1</t>
  </si>
  <si>
    <t>Tour Barcelona Modernista</t>
  </si>
  <si>
    <t>Tour guiado por el Modernismo catalán en Barcelona. https://www.civitatis.com/es/barcelona/tour-barcelona-modernista/</t>
  </si>
  <si>
    <t>Free tour Sagrada Familia</t>
  </si>
  <si>
    <t>Free tour guiado por el exterior de la Sagrada Familia. https://www.civitatis.com/es/barcelona/free-tour-sagrada-familia/</t>
  </si>
  <si>
    <t>Crucero Barcelona-Ravena, 7 noches, incluye propinas. https://www.royalcaribbean.com/lac/es/itinerary/7-night-italy-croatia-cruise-from-barcelona-on-brilliance-BR07M885?sailDate=2027-05-08&amp;packageCode=BR07M885&amp;groupId=BR07BCN-1768961711&amp;country=COL&amp;search=startDate:2027-05-01~2027-05-31</t>
  </si>
  <si>
    <t>Día de navegación</t>
  </si>
  <si>
    <t>Día de navegación, incluido en la tarifa del crucero. https://www.royalcaribbean.com/lac/es/itinerary/7-night-italy-croatia-cruise-from-barcelona-on-brilliance-BR07M885?sailDate=2027-05-08&amp;packageCode=BR07M885&amp;groupId=BR07BCN-1768961711&amp;country=COL&amp;search=startDate:2027-05-01~2027-05-31</t>
  </si>
  <si>
    <t>Comida incluida en el paquete del crucero, sin costo adicional</t>
  </si>
  <si>
    <t>46519.0</t>
  </si>
  <si>
    <t>46521.0</t>
  </si>
  <si>
    <t>Panoramic Pisa</t>
  </si>
  <si>
    <t>Visit to Rome - excursión de un día desde el crucero</t>
  </si>
  <si>
    <t>46517.0</t>
  </si>
  <si>
    <t>46518.0</t>
  </si>
  <si>
    <t>Visit to Rome</t>
  </si>
  <si>
    <t>Excursión panorámica por Pisa desde el crucero. https://www.royalcaribbean.com/account/cruise-planner/category/shorex/product/Y8RO?bookingId=3113096&amp;shipCode=BR&amp;sailDate=20270508</t>
  </si>
  <si>
    <t>Excursión a Roma desde el crucero. https://www.royalcaribbean.com/account/cruise-planner/category/shorex/product/CVS7?bookingId=3113096&amp;shipCode=BR&amp;sailDate=20270508</t>
  </si>
  <si>
    <t>Hotel Zúrich — costo total (5 noches)</t>
  </si>
  <si>
    <t>Hotel Venecia — costo total (1 noche)</t>
  </si>
  <si>
    <t>Free tour Venecia</t>
  </si>
  <si>
    <t>Free tour guiado por el centro histórico de Venecia. https://www.civitatis.com/es/venecia/free-tour-venecia/?_gl=1*1ijxuzi*_up*MQ..*_ga*ODU4MDQyNjAyLjE3ODc4Nzc2ODY.*_ga_QJQ54CTKPM*czE3ODc4Nzc2ODYkbzEkZzEkdDE3ODc4Nzc2OTEkajU1JGwwJGgxNTA2MDA0ODU0</t>
  </si>
  <si>
    <t>Vaporetti ACTV</t>
  </si>
  <si>
    <t>Boletos de vaporetto (transporte acuático) por Venecia. https://book.tickets-venice.com/es/book/8748/select/?_gl=1%2A1073ils%2A_gcl_aw%2AR0NMLjE3ODc4NzgwODMuRUFJYUlRb2JDaE1JaFpPNjdZekNsZ01Wd1lSYUJSM2Y1U1JPRUFBWUF5QUFFZ0tjeFBEX0J3RQ..%2A_gcl_au%2ANzIxMTA1MTQ5LjE3ODc4NzgwODMuLS4tLjE3ODc4NzgwODMuMTE2MDU2ODc1MS4xNzg3ODc4MDg0LjE3ODc4NzgwODM.%2A_ga%2ANDcyOTU3MzYyLjE3ODc4NzgwODM.%2A_ga_Y45PC9R73C%2AczE3ODc4NzgwODMkbzEkZzAkdDE3ODc4NzgwODQkajU5JGwwJGgw&amp;cookieBanner=false&amp;date=2027-05-15&amp;tourId=15560&amp;variantId=15560</t>
  </si>
  <si>
    <t>Traslado puerto → Estación Ravenna</t>
  </si>
  <si>
    <t>46522.0</t>
  </si>
  <si>
    <t>Tren Ravenna - Venecia St Lucia</t>
  </si>
  <si>
    <t>Tren regional desde Ravenna hasta Venecia Santa Lucia</t>
  </si>
  <si>
    <t>Tren regional desde Ravenna hasta Venecia Santa Lucia. https://www.trenitalia.com/en.html</t>
  </si>
  <si>
    <t>46513.0</t>
  </si>
  <si>
    <t>46514.0</t>
  </si>
  <si>
    <t>Pendiente cotizar para 2 personas</t>
  </si>
  <si>
    <t>27/08/2026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</si>
</sst>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 mmmm\ yy"/>
    <numFmt numFmtId="165" formatCode="\$#,##0"/>
    <numFmt numFmtId="166" formatCode="&quot;$ &quot;#,##0"/>
    <numFmt numFmtId="167" formatCode="0.0%"/>
  </numFmts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16.0"/>
      <color rgb="FF1F3864"/>
      <name val="Cambria"/>
    </font>
    <font>
      <i/>
      <sz val="11.0"/>
      <color rgb="FF666666"/>
      <name val="Cambria"/>
    </font>
    <font>
      <b/>
      <sz val="11.0"/>
      <color theme="1"/>
      <name val="Cambria"/>
    </font>
    <font>
      <b/>
      <sz val="11.0"/>
      <color rgb="FFFFFFFF"/>
      <name val="Cambria"/>
    </font>
    <font>
      <b/>
      <sz val="16.0"/>
      <color rgb="FF1F3864"/>
      <name val="Calibri"/>
    </font>
    <font>
      <b/>
      <sz val="20.0"/>
      <color rgb="FF1F3864"/>
      <name val="Calibri"/>
    </font>
    <font>
      <i/>
      <sz val="12.0"/>
      <color rgb="FF595959"/>
      <name val="Calibri"/>
    </font>
    <font>
      <b/>
      <sz val="10.0"/>
      <color rgb="FFFFFFFF"/>
      <name val="Calibri"/>
    </font>
    <font>
      <b/>
      <sz val="13.0"/>
      <color rgb="FF1F3864"/>
      <name val="Calibri"/>
    </font>
    <font>
      <b/>
      <sz val="12.0"/>
      <color rgb="FFFFFFFF"/>
      <name val="Calibri"/>
    </font>
    <font>
      <b/>
      <sz val="11.0"/>
      <color theme="1"/>
      <name val="Calibri"/>
    </font>
    <font/>
    <font>
      <sz val="11.0"/>
      <color rgb="FF0000FF"/>
      <name val="Calibri"/>
    </font>
    <font>
      <i/>
      <sz val="9.0"/>
      <color rgb="FF808080"/>
      <name val="Calibri"/>
    </font>
    <font>
      <sz val="10.0"/>
      <color theme="1"/>
      <name val="Calibri"/>
    </font>
    <font>
      <sz val="10.0"/>
      <color rgb="FF0000FF"/>
      <name val="Calibri"/>
    </font>
    <font>
      <i/>
      <sz val="9.0"/>
      <color rgb="FF666666"/>
      <name val="Cambria"/>
    </font>
    <font>
      <i/>
      <sz val="10.0"/>
      <color rgb="FFC00000"/>
      <name val="Calibri"/>
    </font>
    <font>
      <b/>
      <sz val="10.0"/>
      <color theme="1"/>
      <name val="Calibri"/>
    </font>
    <font>
      <i/>
      <sz val="9.0"/>
      <color rgb="FF2E6E68"/>
      <name val="Cambria"/>
    </font>
    <font>
      <b/>
      <sz val="18.0"/>
      <color rgb="FF1F3864"/>
      <name val="Calibri"/>
    </font>
    <font>
      <i/>
      <sz val="11.0"/>
      <color rgb="FF595959"/>
      <name val="Calibri"/>
    </font>
    <font>
      <b/>
      <sz val="11.0"/>
      <color rgb="FFFFFFFF"/>
      <name val="Calibri"/>
    </font>
    <font>
      <b/>
      <sz val="12.0"/>
      <color rgb="FFC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</fills>
  <borders count="10">
    <border/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/>
      <top/>
      <bottom/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1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shrinkToFit="0" vertical="center" wrapText="1"/>
    </xf>
    <xf borderId="0" fillId="0" fontId="8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3" fontId="9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shrinkToFit="0" vertical="bottom" wrapText="0"/>
    </xf>
    <xf borderId="3" fillId="4" fontId="11" numFmtId="0" xfId="0" applyAlignment="1" applyBorder="1" applyFill="1" applyFont="1">
      <alignment horizontal="left" shrinkToFit="0" vertical="center" wrapText="0"/>
    </xf>
    <xf borderId="0" fillId="0" fontId="12" numFmtId="0" xfId="0" applyAlignment="1" applyFont="1">
      <alignment shrinkToFit="0" vertical="top" wrapText="1"/>
    </xf>
    <xf borderId="4" fillId="0" fontId="13" numFmtId="0" xfId="0" applyBorder="1" applyFont="1"/>
    <xf borderId="0" fillId="0" fontId="1" numFmtId="0" xfId="0" applyAlignment="1" applyFont="1">
      <alignment shrinkToFit="0" vertical="top" wrapText="1"/>
    </xf>
    <xf borderId="5" fillId="4" fontId="5" numFmtId="0" xfId="0" applyAlignment="1" applyBorder="1" applyFill="1" applyFont="1">
      <alignment horizontal="center" shrinkToFit="0" vertical="center" wrapText="0"/>
    </xf>
    <xf borderId="6" fillId="0" fontId="13" numFmtId="0" xfId="0" applyBorder="1" applyFont="1"/>
    <xf borderId="7" fillId="0" fontId="13" numFmtId="0" xfId="0" applyBorder="1" applyFont="1"/>
    <xf borderId="8" fillId="0" fontId="13" numFmtId="0" xfId="0" applyBorder="1" applyFont="1"/>
    <xf borderId="1" fillId="0" fontId="1" numFmtId="0" xfId="0" applyAlignment="1" applyBorder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" numFmtId="3" xfId="0" applyAlignment="1" applyFont="1" applyNumberFormat="1">
      <alignment horizontal="right" shrinkToFit="0" vertical="center" wrapText="0"/>
    </xf>
    <xf borderId="2" fillId="5" fontId="14" numFmtId="0" xfId="0" applyAlignment="1" applyBorder="1" applyFill="1" applyFont="1">
      <alignment horizontal="center" shrinkToFit="0" vertical="bottom" wrapText="0"/>
    </xf>
    <xf borderId="0" fillId="0" fontId="15" numFmtId="0" xfId="0" applyAlignment="1" applyFont="1">
      <alignment shrinkToFit="0" vertical="bottom" wrapText="0"/>
    </xf>
    <xf borderId="1" fillId="0" fontId="1" numFmtId="3" xfId="0" applyAlignment="1" applyBorder="1" applyFont="1" applyNumberFormat="1">
      <alignment horizontal="right" shrinkToFit="0" vertical="center" wrapText="0"/>
    </xf>
    <xf borderId="2" fillId="0" fontId="16" numFmtId="0" xfId="0" applyAlignment="1" applyBorder="1" applyFont="1">
      <alignment shrinkToFit="0" vertical="bottom" wrapText="0"/>
    </xf>
    <xf borderId="2" fillId="0" fontId="16" numFmtId="164" xfId="0" applyAlignment="1" applyBorder="1" applyFont="1" applyNumberFormat="1">
      <alignment shrinkToFit="0" vertical="bottom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6" numFmtId="0" xfId="0" applyAlignment="1" applyBorder="1" applyFont="1">
      <alignment shrinkToFit="0" vertical="center" wrapText="1"/>
    </xf>
    <xf borderId="2" fillId="5" fontId="17" numFmtId="0" xfId="0" applyAlignment="1" applyBorder="1" applyFill="1" applyFont="1">
      <alignment horizontal="center" shrinkToFit="0" vertical="bottom" wrapText="0"/>
    </xf>
    <xf borderId="2" fillId="0" fontId="17" numFmtId="4" xfId="0" applyAlignment="1" applyBorder="1" applyFont="1" applyNumberForma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1" fillId="6" fontId="4" numFmtId="3" xfId="0" applyAlignment="1" applyBorder="1" applyFill="1" applyFont="1" applyNumberFormat="1">
      <alignment horizontal="right" shrinkToFit="0" vertical="center" wrapText="0"/>
    </xf>
    <xf borderId="1" fillId="0" fontId="4" numFmtId="165" xfId="0" applyAlignment="1" applyBorder="1" applyFont="1" applyNumberFormat="1">
      <alignment horizontal="right" shrinkToFit="0" vertical="center" wrapText="0"/>
    </xf>
    <xf borderId="1" fillId="6" fontId="4" numFmtId="165" xfId="0" applyAlignment="1" applyBorder="1" applyFill="1" applyFont="1" applyNumberFormat="1">
      <alignment horizontal="right" shrinkToFit="0" vertical="center" wrapText="0"/>
    </xf>
    <xf borderId="9" fillId="5" fontId="1" numFmtId="0" xfId="0" applyAlignment="1" applyBorder="1" applyFill="1" applyFont="1">
      <alignment shrinkToFit="0" vertical="bottom" wrapText="0"/>
    </xf>
    <xf borderId="2" fillId="0" fontId="1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horizontal="right" shrinkToFit="0" vertical="center" wrapText="0"/>
    </xf>
    <xf borderId="2" fillId="0" fontId="1" numFmtId="0" xfId="0" applyAlignment="1" applyBorder="1" applyFont="1">
      <alignment horizontal="center" shrinkToFit="0" vertical="bottom" wrapText="0"/>
    </xf>
    <xf borderId="9" fillId="6" fontId="1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1"/>
    </xf>
    <xf borderId="9" fillId="3" fontId="1" numFmtId="0" xfId="0" applyAlignment="1" applyBorder="1" applyFill="1" applyFont="1">
      <alignment shrinkToFit="0" vertical="bottom" wrapText="0"/>
    </xf>
    <xf borderId="2" fillId="5" fontId="14" numFmtId="4" xfId="0" applyAlignment="1" applyBorder="1" applyFill="1" applyFont="1" applyNumberFormat="1">
      <alignment horizontal="center" shrinkToFit="0" vertical="bottom" wrapText="0"/>
    </xf>
    <xf borderId="2" fillId="0" fontId="1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1"/>
    </xf>
    <xf borderId="0" fillId="0" fontId="19" numFmtId="0" xfId="0" applyAlignment="1" applyFont="1">
      <alignment shrinkToFit="0" vertical="top" wrapText="1"/>
    </xf>
    <xf borderId="2" fillId="6" fontId="1" numFmtId="4" xfId="0" applyAlignment="1" applyBorder="1" applyFill="1" applyFont="1" applyNumberFormat="1">
      <alignment shrinkToFit="0" vertical="bottom" wrapText="0"/>
    </xf>
    <xf borderId="2" fillId="6" fontId="20" numFmtId="3" xfId="0" applyAlignment="1" applyBorder="1" applyFill="1" applyFont="1" applyNumberFormat="1">
      <alignment shrinkToFit="0" vertical="bottom" wrapText="0"/>
    </xf>
    <xf borderId="2" fillId="6" fontId="1" numFmtId="3" xfId="0" applyAlignment="1" applyBorder="1" applyFill="1" applyFont="1" applyNumberFormat="1">
      <alignment shrinkToFit="0" vertical="bottom" wrapText="0"/>
    </xf>
    <xf borderId="2" fillId="5" fontId="21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shrinkToFit="0" vertical="bottom" wrapText="0"/>
    </xf>
    <xf borderId="0" fillId="0" fontId="23" numFmtId="0" xfId="0" applyAlignment="1" applyFont="1">
      <alignment shrinkToFit="0" vertical="bottom" wrapText="0"/>
    </xf>
    <xf borderId="2" fillId="6" fontId="1" numFmtId="166" xfId="0" applyAlignment="1" applyBorder="1" applyFill="1" applyFont="1" applyNumberFormat="1">
      <alignment shrinkToFit="0" vertical="bottom" wrapText="0"/>
    </xf>
    <xf borderId="2" fillId="6" fontId="1" numFmtId="167" xfId="0" applyAlignment="1" applyBorder="1" applyFill="1" applyFont="1" applyNumberFormat="1">
      <alignment shrinkToFit="0" vertical="bottom" wrapText="0"/>
    </xf>
    <xf borderId="2" fillId="3" fontId="24" numFmtId="0" xfId="0" applyAlignment="1" applyBorder="1" applyFill="1" applyFont="1">
      <alignment shrinkToFit="0" vertical="bottom" wrapText="0"/>
    </xf>
    <xf borderId="2" fillId="3" fontId="24" numFmtId="166" xfId="0" applyAlignment="1" applyBorder="1" applyFill="1" applyFont="1" applyNumberFormat="1">
      <alignment shrinkToFit="0" vertical="bottom" wrapText="0"/>
    </xf>
    <xf borderId="2" fillId="3" fontId="1" numFmtId="0" xfId="0" applyAlignment="1" applyBorder="1" applyFill="1" applyFont="1">
      <alignment shrinkToFit="0" vertical="bottom" wrapText="0"/>
    </xf>
    <xf borderId="2" fillId="0" fontId="25" numFmtId="166" xfId="0" applyAlignment="1" applyBorder="1" applyFont="1" applyNumberFormat="1">
      <alignment shrinkToFit="0" vertical="bottom" wrapText="0"/>
    </xf>
    <xf borderId="2" fillId="0" fontId="1" numFmtId="166" xfId="0" applyAlignment="1" applyBorder="1" applyFont="1" applyNumberFormat="1">
      <alignment shrinkToFit="0" vertical="bottom" wrapText="0"/>
    </xf>
    <xf borderId="2" fillId="0" fontId="1" numFmtId="4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2" fillId="0" fontId="4" numFmtId="0" xfId="0" applyAlignment="1" applyBorder="1" applyFont="1">
      <alignment shrinkToFit="0" vertical="center" wrapText="1"/>
    </xf>
    <xf borderId="2" fillId="6" fontId="4" numFmtId="3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6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20.0"/>
    <col customWidth="1" min="3" max="5" width="22.0"/>
    <col customWidth="1" min="6" max="26" width="8.71"/>
  </cols>
  <sheetData>
    <row r="1" ht="19.5" customHeight="1">
      <c r="A1" s="2" t="s">
        <v>0</v>
      </c>
    </row>
    <row r="2" ht="15.0" customHeight="1">
      <c r="A2" s="3" t="s">
        <v>1</v>
      </c>
    </row>
    <row r="3">
      <c r="A3" s="1"/>
      <c r="B3" s="1"/>
      <c r="C3" s="1"/>
      <c r="D3" s="1"/>
      <c r="E3" s="1"/>
    </row>
    <row r="4" ht="41.25" customHeight="1">
      <c r="A4" s="4" t="s">
        <v>2</v>
      </c>
      <c r="B4" s="5" t="s">
        <v>3</v>
      </c>
      <c r="C4" s="5" t="s">
        <v>7</v>
      </c>
      <c r="D4" s="5" t="s">
        <v>8</v>
      </c>
      <c r="E4" s="5" t="s">
        <v>9</v>
      </c>
    </row>
    <row r="5" ht="68.25" customHeight="1">
      <c r="A5" s="8" t="s">
        <v>10</v>
      </c>
      <c r="B5" s="9" t="s">
        <v>13</v>
      </c>
      <c r="C5" s="9" t="s">
        <v>16</v>
      </c>
      <c r="D5" s="9" t="s">
        <v>18</v>
      </c>
      <c r="E5" s="9" t="s">
        <v>19</v>
      </c>
    </row>
    <row r="6" ht="15.0" customHeight="1">
      <c r="A6" s="8" t="s">
        <v>20</v>
      </c>
      <c r="B6" s="11" t="s">
        <v>21</v>
      </c>
      <c r="C6" s="11" t="s">
        <v>23</v>
      </c>
      <c r="D6" s="11" t="s">
        <v>24</v>
      </c>
      <c r="E6" s="13" t="s">
        <v>23</v>
      </c>
    </row>
    <row r="7" ht="15.0" customHeight="1">
      <c r="A7" s="19" t="s">
        <v>39</v>
      </c>
      <c r="B7" s="21"/>
      <c r="C7" s="21"/>
      <c r="D7" s="21"/>
      <c r="E7" s="22"/>
    </row>
    <row r="8" ht="15.0" customHeight="1">
      <c r="A8" s="23" t="s">
        <v>11</v>
      </c>
      <c r="B8" s="25">
        <v>8840310.0</v>
      </c>
      <c r="C8" s="25">
        <v>1.2637329E7</v>
      </c>
      <c r="D8" s="25">
        <v>1.6266882E7</v>
      </c>
      <c r="E8" s="25">
        <v>1.038000505E7</v>
      </c>
    </row>
    <row r="9" ht="15.0" customHeight="1">
      <c r="A9" s="23" t="s">
        <v>14</v>
      </c>
      <c r="B9" s="28">
        <v>1241448.6</v>
      </c>
      <c r="C9" s="28">
        <v>1606218.6</v>
      </c>
      <c r="D9" s="28">
        <v>2467285.8</v>
      </c>
      <c r="E9" s="28">
        <v>1804038.6</v>
      </c>
    </row>
    <row r="10" ht="15.0" customHeight="1">
      <c r="A10" s="23" t="s">
        <v>36</v>
      </c>
      <c r="B10" s="28">
        <v>3450552.0</v>
      </c>
      <c r="C10" s="28">
        <v>7098252.0</v>
      </c>
      <c r="D10" s="28">
        <v>1.274322E7</v>
      </c>
      <c r="E10" s="28">
        <v>5888442.0</v>
      </c>
    </row>
    <row r="11" ht="15.0" customHeight="1">
      <c r="A11" s="23" t="s">
        <v>54</v>
      </c>
      <c r="B11" s="28">
        <v>6468682.5</v>
      </c>
      <c r="C11" s="28">
        <v>6468682.5</v>
      </c>
      <c r="D11" s="28">
        <v>6468682.5</v>
      </c>
      <c r="E11" s="28">
        <v>6468682.5</v>
      </c>
    </row>
    <row r="12" ht="15.0" customHeight="1">
      <c r="A12" s="23" t="s">
        <v>57</v>
      </c>
      <c r="B12" s="28">
        <v>2171956.5</v>
      </c>
      <c r="C12" s="28">
        <v>9876447.0</v>
      </c>
      <c r="D12" s="28">
        <v>1.208000745E7</v>
      </c>
      <c r="E12" s="28">
        <v>6322613.75</v>
      </c>
    </row>
    <row r="13" ht="15.0" customHeight="1">
      <c r="A13" s="23" t="s">
        <v>59</v>
      </c>
      <c r="B13" s="28">
        <v>1800288.0</v>
      </c>
      <c r="C13" s="28">
        <v>4475268.0</v>
      </c>
      <c r="D13" s="28">
        <v>8377740.0</v>
      </c>
      <c r="E13" s="28">
        <v>3600576.0</v>
      </c>
    </row>
    <row r="14" ht="15.0" customHeight="1">
      <c r="A14" s="23" t="s">
        <v>48</v>
      </c>
      <c r="B14" s="28">
        <v>450000.0</v>
      </c>
      <c r="C14" s="28">
        <v>450000.0</v>
      </c>
      <c r="D14" s="28">
        <v>760054.0</v>
      </c>
      <c r="E14" s="28">
        <v>450000.0</v>
      </c>
    </row>
    <row r="15" ht="15.0" customHeight="1">
      <c r="A15" s="23" t="s">
        <v>64</v>
      </c>
      <c r="B15" s="28">
        <v>2400384.0</v>
      </c>
      <c r="C15" s="28">
        <v>2400384.0</v>
      </c>
      <c r="D15" s="28">
        <v>2400384.0</v>
      </c>
      <c r="E15" s="28">
        <v>2400384.0</v>
      </c>
    </row>
    <row r="16" ht="15.0" customHeight="1">
      <c r="A16" s="35" t="s">
        <v>67</v>
      </c>
      <c r="B16" s="36">
        <v>2.68236216E7</v>
      </c>
      <c r="C16" s="36">
        <v>4.50125811E7</v>
      </c>
      <c r="D16" s="36">
        <v>6.156425575E7</v>
      </c>
      <c r="E16" s="28">
        <v>3.73147419E7</v>
      </c>
    </row>
    <row r="17" ht="15.0" customHeight="1">
      <c r="A17" s="8" t="s">
        <v>69</v>
      </c>
      <c r="B17" s="37">
        <v>8334.85</v>
      </c>
      <c r="C17" s="37">
        <v>13986.66</v>
      </c>
      <c r="D17" s="37">
        <v>19129.73067661</v>
      </c>
      <c r="E17" s="38">
        <v>11594.73</v>
      </c>
    </row>
    <row r="18" ht="15.0" customHeight="1">
      <c r="A18" s="1"/>
      <c r="B18" s="1"/>
      <c r="C18" s="1"/>
      <c r="D18" s="1"/>
      <c r="E18" s="37"/>
    </row>
    <row r="19" ht="15.0" customHeight="1">
      <c r="A19" s="19" t="s">
        <v>72</v>
      </c>
      <c r="B19" s="21"/>
      <c r="C19" s="21"/>
      <c r="D19" s="21"/>
      <c r="E19" s="22"/>
    </row>
    <row r="20" ht="15.0" customHeight="1">
      <c r="A20" s="23" t="s">
        <v>78</v>
      </c>
      <c r="B20" s="25">
        <v>8941207.2</v>
      </c>
      <c r="C20" s="25">
        <v>1.50041937E7</v>
      </c>
      <c r="D20" s="25">
        <v>2.05214185833333E7</v>
      </c>
      <c r="E20" s="25">
        <v>1.24382473E7</v>
      </c>
    </row>
    <row r="21" ht="15.0" customHeight="1">
      <c r="A21" s="23" t="s">
        <v>79</v>
      </c>
      <c r="B21" s="42">
        <v>2778.28</v>
      </c>
      <c r="C21" s="42">
        <v>4662.22</v>
      </c>
      <c r="D21" s="42">
        <v>6376.57689220332</v>
      </c>
      <c r="E21" s="42">
        <v>3864.91</v>
      </c>
    </row>
    <row r="22" ht="15.0" customHeight="1">
      <c r="A22" s="23" t="s">
        <v>82</v>
      </c>
      <c r="B22" s="28">
        <v>812837.018181818</v>
      </c>
      <c r="C22" s="28">
        <v>937762.10625</v>
      </c>
      <c r="D22" s="28">
        <v>661981.244623656</v>
      </c>
      <c r="E22" s="28">
        <v>777390.45625</v>
      </c>
    </row>
    <row r="23" ht="15.0" customHeight="1">
      <c r="A23" s="1"/>
      <c r="B23" s="1"/>
      <c r="C23" s="1"/>
      <c r="D23" s="1"/>
      <c r="E23" s="28">
        <v>740083.039375</v>
      </c>
    </row>
    <row r="24" ht="21.75" customHeight="1">
      <c r="A24" s="45"/>
      <c r="B24" s="1"/>
      <c r="C24" s="1"/>
      <c r="D24" s="1"/>
      <c r="E24" s="1"/>
    </row>
    <row r="25" ht="15.0" customHeight="1">
      <c r="A25" s="1" t="s">
        <v>84</v>
      </c>
    </row>
    <row r="26" ht="15.75" customHeight="1">
      <c r="A26" s="1"/>
      <c r="B26" s="1"/>
      <c r="C26" s="1"/>
      <c r="D26" s="1"/>
      <c r="E26" s="1"/>
    </row>
    <row r="27" ht="15.75" customHeight="1">
      <c r="A27" s="1"/>
      <c r="B27" s="1"/>
      <c r="C27" s="1"/>
      <c r="D27" s="1"/>
      <c r="E27" s="1"/>
    </row>
    <row r="28" ht="15.75" customHeight="1">
      <c r="A28" s="1"/>
      <c r="B28" s="1"/>
      <c r="C28" s="1"/>
      <c r="D28" s="1"/>
      <c r="E28" s="1"/>
    </row>
    <row r="29" ht="15.75" customHeight="1">
      <c r="A29" s="1"/>
      <c r="B29" s="1"/>
      <c r="C29" s="1"/>
      <c r="D29" s="1"/>
      <c r="E29" s="1"/>
    </row>
    <row r="30" ht="15.75" customHeight="1">
      <c r="A30" s="1"/>
      <c r="B30" s="1"/>
      <c r="C30" s="1"/>
      <c r="D30" s="1"/>
      <c r="E30" s="1"/>
    </row>
    <row r="31" ht="15.75" customHeight="1">
      <c r="A31" s="1"/>
      <c r="B31" s="1"/>
      <c r="C31" s="1"/>
      <c r="D31" s="1"/>
      <c r="E31" s="1"/>
    </row>
    <row r="32" ht="15.75" customHeight="1">
      <c r="A32" s="1"/>
      <c r="B32" s="1"/>
      <c r="C32" s="1"/>
      <c r="D32" s="1"/>
      <c r="E32" s="1"/>
    </row>
    <row r="33" ht="15.75" customHeight="1">
      <c r="A33" s="1"/>
      <c r="B33" s="1"/>
      <c r="C33" s="1"/>
      <c r="D33" s="1"/>
      <c r="E33" s="1"/>
    </row>
    <row r="34" ht="15.75" customHeight="1">
      <c r="A34" s="1"/>
      <c r="B34" s="1"/>
      <c r="C34" s="1"/>
      <c r="D34" s="1"/>
      <c r="E34" s="1"/>
    </row>
    <row r="35" ht="15.75" customHeight="1">
      <c r="A35" s="1"/>
      <c r="B35" s="1"/>
      <c r="C35" s="1"/>
      <c r="D35" s="1"/>
      <c r="E35" s="1"/>
    </row>
    <row r="36" ht="15.75" customHeight="1">
      <c r="A36" s="1"/>
      <c r="B36" s="1"/>
      <c r="C36" s="1"/>
      <c r="D36" s="1"/>
      <c r="E36" s="1"/>
    </row>
    <row r="37" ht="15.75" customHeight="1">
      <c r="A37" s="1"/>
      <c r="B37" s="1"/>
      <c r="C37" s="1"/>
      <c r="D37" s="1"/>
      <c r="E37" s="1"/>
    </row>
    <row r="38" ht="15.75" customHeight="1">
      <c r="A38" s="1"/>
      <c r="B38" s="1"/>
      <c r="C38" s="1"/>
      <c r="D38" s="1"/>
      <c r="E38" s="1"/>
    </row>
    <row r="39" ht="15.75" customHeight="1">
      <c r="A39" s="1"/>
      <c r="B39" s="1"/>
      <c r="C39" s="1"/>
      <c r="D39" s="1"/>
      <c r="E39" s="1"/>
    </row>
    <row r="40" ht="15.75" customHeight="1">
      <c r="A40" s="1"/>
      <c r="B40" s="1"/>
      <c r="C40" s="1"/>
      <c r="D40" s="1"/>
      <c r="E40" s="1"/>
    </row>
    <row r="41" ht="15.75" customHeight="1">
      <c r="A41" s="1"/>
      <c r="B41" s="1"/>
      <c r="C41" s="1"/>
      <c r="D41" s="1"/>
      <c r="E41" s="1"/>
    </row>
    <row r="42" ht="15.75" customHeight="1">
      <c r="A42" s="1"/>
      <c r="B42" s="1"/>
      <c r="C42" s="1"/>
      <c r="D42" s="1"/>
      <c r="E42" s="1"/>
    </row>
    <row r="43" ht="15.75" customHeight="1">
      <c r="A43" s="1"/>
      <c r="B43" s="1"/>
      <c r="C43" s="1"/>
      <c r="D43" s="1"/>
      <c r="E43" s="1"/>
    </row>
    <row r="44" ht="15.75" customHeight="1">
      <c r="A44" s="1"/>
      <c r="B44" s="1"/>
      <c r="C44" s="1"/>
      <c r="D44" s="1"/>
      <c r="E44" s="1"/>
    </row>
    <row r="45" ht="15.75" customHeight="1">
      <c r="A45" s="1"/>
      <c r="B45" s="1"/>
      <c r="C45" s="1"/>
      <c r="D45" s="1"/>
      <c r="E45" s="1"/>
    </row>
    <row r="46" ht="15.75" customHeight="1">
      <c r="A46" s="1"/>
      <c r="B46" s="1"/>
      <c r="C46" s="1"/>
      <c r="D46" s="1"/>
      <c r="E46" s="1"/>
    </row>
    <row r="47" ht="15.75" customHeight="1">
      <c r="A47" s="1"/>
      <c r="B47" s="1"/>
      <c r="C47" s="1"/>
      <c r="D47" s="1"/>
      <c r="E47" s="1"/>
    </row>
    <row r="48" ht="15.75" customHeight="1">
      <c r="A48" s="1"/>
      <c r="B48" s="1"/>
      <c r="C48" s="1"/>
      <c r="D48" s="1"/>
      <c r="E48" s="1"/>
    </row>
    <row r="49" ht="15.75" customHeight="1">
      <c r="A49" s="1"/>
      <c r="B49" s="1"/>
      <c r="C49" s="1"/>
      <c r="D49" s="1"/>
      <c r="E49" s="1"/>
    </row>
    <row r="50" ht="15.75" customHeight="1">
      <c r="A50" s="1"/>
      <c r="B50" s="1"/>
      <c r="C50" s="1"/>
      <c r="D50" s="1"/>
      <c r="E50" s="1"/>
    </row>
    <row r="51" ht="15.75" customHeight="1">
      <c r="A51" s="1"/>
      <c r="B51" s="1"/>
      <c r="C51" s="1"/>
      <c r="D51" s="1"/>
      <c r="E51" s="1"/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5">
    <mergeCell ref="A1:E1"/>
    <mergeCell ref="A2:E2"/>
    <mergeCell ref="A7:E7"/>
    <mergeCell ref="A19:E19"/>
    <mergeCell ref="A25:E2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3" width="60.0"/>
    <col customWidth="1" min="4" max="4" width="3.0"/>
    <col customWidth="1" min="5" max="6" width="8.71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4.0" customHeight="1">
      <c r="A2" s="1"/>
      <c r="B2" s="7" t="s">
        <v>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0" t="s">
        <v>15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4" t="s">
        <v>31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39.75" customHeight="1">
      <c r="A6" s="1"/>
      <c r="B6" s="16" t="s">
        <v>40</v>
      </c>
      <c r="C6" s="18" t="s">
        <v>41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9.75" customHeight="1">
      <c r="A7" s="1"/>
      <c r="B7" s="16" t="s">
        <v>42</v>
      </c>
      <c r="C7" s="18" t="s">
        <v>43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75" customHeight="1">
      <c r="A8" s="1"/>
      <c r="B8" s="16" t="s">
        <v>45</v>
      </c>
      <c r="C8" s="18" t="s">
        <v>46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9.75" customHeight="1">
      <c r="A9" s="1"/>
      <c r="B9" s="16" t="s">
        <v>50</v>
      </c>
      <c r="C9" s="18" t="s">
        <v>53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9.75" customHeight="1">
      <c r="A10" s="1"/>
      <c r="B10" s="16" t="s">
        <v>60</v>
      </c>
      <c r="C10" s="18" t="s">
        <v>61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9.75" customHeight="1">
      <c r="A11" s="1"/>
      <c r="B11" s="16" t="s">
        <v>65</v>
      </c>
      <c r="C11" s="18" t="s">
        <v>66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4" t="s">
        <v>70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/>
      <c r="C14" s="1" t="s">
        <v>77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4"/>
      <c r="C15" s="1" t="s">
        <v>83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6"/>
      <c r="C16" s="1" t="s">
        <v>85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4" t="s">
        <v>86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4" t="s">
        <v>88</v>
      </c>
      <c r="C19" s="49" t="s">
        <v>89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7.75" customHeight="1">
      <c r="A20" s="1"/>
      <c r="B20" s="24" t="s">
        <v>91</v>
      </c>
      <c r="C20" s="49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7.75" customHeight="1">
      <c r="A21" s="1"/>
      <c r="B21" s="24" t="s">
        <v>95</v>
      </c>
      <c r="C21" s="49" t="s">
        <v>96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50" t="s">
        <v>104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C2"/>
    <mergeCell ref="B3:C3"/>
    <mergeCell ref="B24:C26"/>
  </mergeCells>
  <printOptions/>
  <pageMargins bottom="0.4" footer="0.0" header="0.0" left="0.3" right="0.3" top="0.4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3.14"/>
    <col customWidth="1" min="3" max="3" width="34.0"/>
    <col customWidth="1" min="4" max="4" width="16.0"/>
    <col customWidth="1" min="5" max="5" width="18.0"/>
    <col customWidth="1" min="6" max="6" width="20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1"/>
      <c r="B2" s="6" t="s">
        <v>5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15" t="s">
        <v>38</v>
      </c>
      <c r="C4" s="17"/>
      <c r="D4" s="17"/>
      <c r="E4" s="17"/>
      <c r="F4" s="20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24" t="s">
        <v>44</v>
      </c>
      <c r="C5" s="26">
        <v>3.0</v>
      </c>
      <c r="D5" s="27" t="s">
        <v>47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24" t="s">
        <v>52</v>
      </c>
      <c r="C6" s="31" t="s">
        <v>55</v>
      </c>
      <c r="D6" s="27" t="s">
        <v>56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24" t="s">
        <v>62</v>
      </c>
      <c r="C7" s="26" t="s">
        <v>412</v>
      </c>
      <c r="D7" s="1"/>
      <c r="E7" s="1">
        <v>1.05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5" t="s">
        <v>68</v>
      </c>
      <c r="C9" s="17"/>
      <c r="D9" s="17"/>
      <c r="E9" s="17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5.5" customHeight="1">
      <c r="A10" s="1"/>
      <c r="B10" s="12" t="s">
        <v>71</v>
      </c>
      <c r="C10" s="12" t="s">
        <v>73</v>
      </c>
      <c r="D10" s="12" t="s">
        <v>74</v>
      </c>
      <c r="E10" s="12" t="s">
        <v>75</v>
      </c>
      <c r="F10" s="12" t="s">
        <v>76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0" t="s">
        <v>12</v>
      </c>
      <c r="C11" s="41" t="s">
        <v>80</v>
      </c>
      <c r="D11" s="43" t="s">
        <v>81</v>
      </c>
      <c r="E11" s="47">
        <f>3629*$E$7</f>
        <v>3810.45</v>
      </c>
      <c r="F11" s="48" t="s">
        <v>87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0" t="s">
        <v>17</v>
      </c>
      <c r="C12" s="41" t="s">
        <v>90</v>
      </c>
      <c r="D12" s="43" t="s">
        <v>17</v>
      </c>
      <c r="E12" s="47">
        <f>3873*$E$7</f>
        <v>4066.65</v>
      </c>
      <c r="F12" s="48" t="s">
        <v>87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0" t="s">
        <v>37</v>
      </c>
      <c r="C13" s="41" t="s">
        <v>93</v>
      </c>
      <c r="D13" s="43" t="s">
        <v>94</v>
      </c>
      <c r="E13" s="47">
        <f>150.3*$E$7</f>
        <v>157.82</v>
      </c>
      <c r="F13" s="48" t="s">
        <v>87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0" t="s">
        <v>97</v>
      </c>
      <c r="C14" s="41" t="s">
        <v>98</v>
      </c>
      <c r="D14" s="43" t="s">
        <v>99</v>
      </c>
      <c r="E14" s="47">
        <f>3115*$E$7</f>
        <v>3270.75</v>
      </c>
      <c r="F14" s="48" t="s">
        <v>87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0" t="s">
        <v>55</v>
      </c>
      <c r="C15" s="41" t="s">
        <v>100</v>
      </c>
      <c r="D15" s="43" t="s">
        <v>101</v>
      </c>
      <c r="E15" s="47">
        <v>1.0</v>
      </c>
      <c r="F15" s="48" t="s">
        <v>102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50" t="s">
        <v>103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2:F2"/>
    <mergeCell ref="B4:F4"/>
    <mergeCell ref="B9:F9"/>
    <mergeCell ref="B17:F18"/>
  </mergeCells>
  <printOptions/>
  <pageMargins bottom="0.4" footer="0.0" header="0.0" left="0.3" right="0.3" top="0.4"/>
  <pageSetup fitToHeight="0"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48</v>
      </c>
      <c r="B5" s="29" t="s">
        <v>49</v>
      </c>
      <c r="C5" s="30" t="s">
        <v>51</v>
      </c>
      <c r="D5" s="32" t="s">
        <v>376</v>
      </c>
      <c r="E5" s="33" t="s">
        <v>55</v>
      </c>
      <c r="F5" s="34">
        <v>443970.0</v>
      </c>
      <c r="G5" s="33">
        <v>3.0</v>
      </c>
      <c r="H5" s="51">
        <f>IFERROR(F5*G5,0)</f>
        <v>1331910.0</v>
      </c>
      <c r="I5" s="51">
        <f t="array" ref="I5">IFERROR(INDEX('Tasas de Cambio'!$E$11:$E$15,MATCH(E5,'Tasas de Cambio'!$B$11:$B$15,0)),0)</f>
        <v>1.0</v>
      </c>
      <c r="J5" s="52">
        <f>IFERROR(H5*I5,0)</f>
        <v>1331910.0</v>
      </c>
      <c r="K5" s="53">
        <f>IFERROR(J5/'Tasas de Cambio'!$C$5,0)</f>
        <v>443970.0</v>
      </c>
      <c r="L5" s="54" t="s">
        <v>375</v>
      </c>
      <c r="M5" s="1" t="s">
        <v>374</v>
      </c>
    </row>
    <row r="6" ht="30.0" customHeight="1">
      <c r="A6" s="29" t="s">
        <v>11</v>
      </c>
      <c r="B6" s="29" t="s">
        <v>106</v>
      </c>
      <c r="C6" s="30" t="s">
        <v>107</v>
      </c>
      <c r="D6" s="32" t="s">
        <v>108</v>
      </c>
      <c r="E6" s="33" t="s">
        <v>55</v>
      </c>
      <c r="F6" s="34">
        <v>1886015.0</v>
      </c>
      <c r="G6" s="33">
        <v>3.0</v>
      </c>
      <c r="H6" s="51">
        <f t="shared" si="1"/>
        <v>5658045</v>
      </c>
      <c r="I6" s="51">
        <f t="array" ref="I6">IFERROR(INDEX('Tasas de Cambio'!$E$11:$E$15,MATCH(E6,'Tasas de Cambio'!$B$11:$B$15,0)),0)</f>
        <v>1</v>
      </c>
      <c r="J6" s="52">
        <f t="shared" si="2"/>
        <v>5658045</v>
      </c>
      <c r="K6" s="53">
        <f>IFERROR(J6/'Tasas de Cambio'!$C$5,0)</f>
        <v>1886015</v>
      </c>
      <c r="L6" s="54" t="s">
        <v>109</v>
      </c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14</v>
      </c>
      <c r="B7" s="29" t="s">
        <v>110</v>
      </c>
      <c r="C7" s="30" t="s">
        <v>107</v>
      </c>
      <c r="D7" s="32" t="s">
        <v>111</v>
      </c>
      <c r="E7" s="33" t="s">
        <v>17</v>
      </c>
      <c r="F7" s="34">
        <v>45.0</v>
      </c>
      <c r="G7" s="33">
        <v>1.0</v>
      </c>
      <c r="H7" s="51">
        <f t="shared" si="1"/>
        <v>45</v>
      </c>
      <c r="I7" s="51">
        <f t="array" ref="I7">IFERROR(INDEX('Tasas de Cambio'!$E$11:$E$15,MATCH(E7,'Tasas de Cambio'!$B$11:$B$15,0)),0)</f>
        <v>4066.65</v>
      </c>
      <c r="J7" s="52">
        <f t="shared" si="2"/>
        <v>182999.25</v>
      </c>
      <c r="K7" s="53">
        <f>IFERROR(J7/'Tasas de Cambio'!$C$5,0)</f>
        <v>60999.75</v>
      </c>
      <c r="L7" s="54" t="s">
        <v>112</v>
      </c>
      <c r="M7" s="1"/>
      <c r="N7" s="1"/>
      <c r="O7" s="1" t="s">
        <v>59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0.0" customHeight="1">
      <c r="A8" s="29" t="s">
        <v>36</v>
      </c>
      <c r="B8" s="29" t="s">
        <v>113</v>
      </c>
      <c r="C8" s="30" t="s">
        <v>114</v>
      </c>
      <c r="D8" s="32" t="s">
        <v>115</v>
      </c>
      <c r="E8" s="33" t="s">
        <v>17</v>
      </c>
      <c r="F8" s="34">
        <v>200.0</v>
      </c>
      <c r="G8" s="33">
        <v>3.0</v>
      </c>
      <c r="H8" s="51">
        <f t="shared" si="1"/>
        <v>600</v>
      </c>
      <c r="I8" s="51">
        <f t="array" ref="I8">IFERROR(INDEX('Tasas de Cambio'!$E$11:$E$15,MATCH(E8,'Tasas de Cambio'!$B$11:$B$15,0)),0)</f>
        <v>4066.65</v>
      </c>
      <c r="J8" s="52">
        <f t="shared" si="2"/>
        <v>2439990.0</v>
      </c>
      <c r="K8" s="53">
        <f>IFERROR(J8/'Tasas de Cambio'!$C$5,0)</f>
        <v>813330.0</v>
      </c>
      <c r="L8" s="54" t="s">
        <v>116</v>
      </c>
      <c r="M8" s="1"/>
      <c r="N8" s="1"/>
      <c r="O8" s="1" t="s">
        <v>48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0.0" customHeight="1">
      <c r="A9" s="29" t="s">
        <v>64</v>
      </c>
      <c r="B9" s="29" t="s">
        <v>117</v>
      </c>
      <c r="C9" s="30" t="s">
        <v>118</v>
      </c>
      <c r="D9" s="32" t="s">
        <v>119</v>
      </c>
      <c r="E9" s="33" t="s">
        <v>12</v>
      </c>
      <c r="F9" s="34">
        <v>200.0</v>
      </c>
      <c r="G9" s="33">
        <v>3.0</v>
      </c>
      <c r="H9" s="51">
        <f t="shared" si="1"/>
        <v>600</v>
      </c>
      <c r="I9" s="51">
        <f t="array" ref="I9">IFERROR(INDEX('Tasas de Cambio'!$E$11:$E$15,MATCH(E9,'Tasas de Cambio'!$B$11:$B$15,0)),0)</f>
        <v>3810.45</v>
      </c>
      <c r="J9" s="52">
        <f t="shared" si="2"/>
        <v>2286270.0</v>
      </c>
      <c r="K9" s="53">
        <f>IFERROR(J9/'Tasas de Cambio'!$C$5,0)</f>
        <v>762090.0</v>
      </c>
      <c r="L9" s="54" t="s">
        <v>120</v>
      </c>
      <c r="M9" s="1"/>
      <c r="N9" s="1"/>
      <c r="O9" s="1" t="s">
        <v>64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30.0" customHeight="1">
      <c r="A10" s="29" t="s">
        <v>64</v>
      </c>
      <c r="B10" s="29" t="s">
        <v>117</v>
      </c>
      <c r="C10" s="30" t="s">
        <v>121</v>
      </c>
      <c r="D10" s="32" t="s">
        <v>122</v>
      </c>
      <c r="E10" s="33" t="s">
        <v>97</v>
      </c>
      <c r="F10" s="34">
        <v>54.0</v>
      </c>
      <c r="G10" s="33">
        <v>1.0</v>
      </c>
      <c r="H10" s="51">
        <f t="shared" si="1"/>
        <v>54</v>
      </c>
      <c r="I10" s="51">
        <f t="array" ref="I10">IFERROR(INDEX('Tasas de Cambio'!$E$11:$E$15,MATCH(E10,'Tasas de Cambio'!$B$11:$B$15,0)),0)</f>
        <v>3270.75</v>
      </c>
      <c r="J10" s="52">
        <f t="shared" si="2"/>
        <v>176620.5</v>
      </c>
      <c r="K10" s="53">
        <f>IFERROR(J10/'Tasas de Cambio'!$C$5,0)</f>
        <v>58873.5</v>
      </c>
      <c r="L10" s="54" t="s">
        <v>372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59</v>
      </c>
      <c r="B11" s="29" t="s">
        <v>124</v>
      </c>
      <c r="C11" s="30" t="s">
        <v>125</v>
      </c>
      <c r="D11" s="32" t="s">
        <v>126</v>
      </c>
      <c r="E11" s="33" t="s">
        <v>17</v>
      </c>
      <c r="F11" s="34">
        <v>55.0</v>
      </c>
      <c r="G11" s="33">
        <v>3.0</v>
      </c>
      <c r="H11" s="51">
        <f t="shared" si="1"/>
        <v>165</v>
      </c>
      <c r="I11" s="51">
        <f t="array" ref="I11">IFERROR(INDEX('Tasas de Cambio'!$E$11:$E$15,MATCH(E11,'Tasas de Cambio'!$B$11:$B$15,0)),0)</f>
        <v>4066.65</v>
      </c>
      <c r="J11" s="52">
        <f t="shared" si="2"/>
        <v>670997.25</v>
      </c>
      <c r="K11" s="53">
        <f>IFERROR(J11/'Tasas de Cambio'!$C$5,0)</f>
        <v>223665.75</v>
      </c>
      <c r="L11" s="54" t="s">
        <v>127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124</v>
      </c>
      <c r="C12" s="30" t="s">
        <v>125</v>
      </c>
      <c r="D12" s="32" t="s">
        <v>128</v>
      </c>
      <c r="E12" s="33" t="s">
        <v>97</v>
      </c>
      <c r="F12" s="34">
        <v>90.0</v>
      </c>
      <c r="G12" s="33">
        <v>3.0</v>
      </c>
      <c r="H12" s="51">
        <f t="shared" si="1"/>
        <v>270</v>
      </c>
      <c r="I12" s="51">
        <f t="array" ref="I12">IFERROR(INDEX('Tasas de Cambio'!$E$11:$E$15,MATCH(E12,'Tasas de Cambio'!$B$11:$B$15,0)),0)</f>
        <v>3270.75</v>
      </c>
      <c r="J12" s="52">
        <f t="shared" si="2"/>
        <v>883102.5</v>
      </c>
      <c r="K12" s="53">
        <f>IFERROR(J12/'Tasas de Cambio'!$C$5,0)</f>
        <v>294367.5</v>
      </c>
      <c r="L12" s="54" t="s">
        <v>129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57</v>
      </c>
      <c r="B13" s="29" t="s">
        <v>124</v>
      </c>
      <c r="C13" s="30" t="s">
        <v>130</v>
      </c>
      <c r="D13" s="32" t="s">
        <v>131</v>
      </c>
      <c r="E13" s="33" t="s">
        <v>97</v>
      </c>
      <c r="F13" s="34">
        <v>350.0</v>
      </c>
      <c r="G13" s="33">
        <v>3.0</v>
      </c>
      <c r="H13" s="51">
        <f t="shared" si="1"/>
        <v>1050</v>
      </c>
      <c r="I13" s="51">
        <f t="array" ref="I13">IFERROR(INDEX('Tasas de Cambio'!$E$11:$E$15,MATCH(E13,'Tasas de Cambio'!$B$11:$B$15,0)),0)</f>
        <v>3270.75</v>
      </c>
      <c r="J13" s="52">
        <f t="shared" si="2"/>
        <v>3434287.5</v>
      </c>
      <c r="K13" s="53">
        <f>IFERROR(J13/'Tasas de Cambio'!$C$5,0)</f>
        <v>1144762.5</v>
      </c>
      <c r="L13" s="54" t="s">
        <v>132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59</v>
      </c>
      <c r="B14" s="29" t="s">
        <v>124</v>
      </c>
      <c r="C14" s="30" t="s">
        <v>130</v>
      </c>
      <c r="D14" s="32" t="s">
        <v>126</v>
      </c>
      <c r="E14" s="33" t="s">
        <v>17</v>
      </c>
      <c r="F14" s="34">
        <v>55.0</v>
      </c>
      <c r="G14" s="33">
        <v>3.0</v>
      </c>
      <c r="H14" s="51">
        <f t="shared" si="1"/>
        <v>165</v>
      </c>
      <c r="I14" s="51">
        <f t="array" ref="I14">IFERROR(INDEX('Tasas de Cambio'!$E$11:$E$15,MATCH(E14,'Tasas de Cambio'!$B$11:$B$15,0)),0)</f>
        <v>4066.65</v>
      </c>
      <c r="J14" s="52">
        <f t="shared" si="2"/>
        <v>670997.25</v>
      </c>
      <c r="K14" s="53">
        <f>IFERROR(J14/'Tasas de Cambio'!$C$5,0)</f>
        <v>223665.75</v>
      </c>
      <c r="L14" s="54" t="s">
        <v>127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0" customHeight="1">
      <c r="A15" s="29" t="s">
        <v>11</v>
      </c>
      <c r="B15" s="29" t="s">
        <v>133</v>
      </c>
      <c r="C15" s="30" t="s">
        <v>134</v>
      </c>
      <c r="D15" s="32" t="s">
        <v>135</v>
      </c>
      <c r="E15" s="33" t="s">
        <v>12</v>
      </c>
      <c r="F15" s="34">
        <v>75.0</v>
      </c>
      <c r="G15" s="33">
        <v>3.0</v>
      </c>
      <c r="H15" s="51">
        <f t="shared" si="1"/>
        <v>225</v>
      </c>
      <c r="I15" s="51">
        <f t="array" ref="I15">IFERROR(INDEX('Tasas de Cambio'!$E$11:$E$15,MATCH(E15,'Tasas de Cambio'!$B$11:$B$15,0)),0)</f>
        <v>3810.45</v>
      </c>
      <c r="J15" s="52">
        <f t="shared" si="2"/>
        <v>857351.25</v>
      </c>
      <c r="K15" s="53">
        <f>IFERROR(J15/'Tasas de Cambio'!$C$5,0)</f>
        <v>285783.75</v>
      </c>
      <c r="L15" s="54" t="s">
        <v>136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29" t="s">
        <v>14</v>
      </c>
      <c r="B16" s="29" t="s">
        <v>110</v>
      </c>
      <c r="C16" s="30" t="s">
        <v>134</v>
      </c>
      <c r="D16" s="32" t="s">
        <v>137</v>
      </c>
      <c r="E16" s="33" t="s">
        <v>17</v>
      </c>
      <c r="F16" s="34">
        <v>15.0</v>
      </c>
      <c r="G16" s="33">
        <v>1.0</v>
      </c>
      <c r="H16" s="51">
        <f t="shared" si="1"/>
        <v>15</v>
      </c>
      <c r="I16" s="51">
        <f t="array" ref="I16">IFERROR(INDEX('Tasas de Cambio'!$E$11:$E$15,MATCH(E16,'Tasas de Cambio'!$B$11:$B$15,0)),0)</f>
        <v>4066.65</v>
      </c>
      <c r="J16" s="52">
        <f t="shared" si="2"/>
        <v>60999.75</v>
      </c>
      <c r="K16" s="53">
        <f>IFERROR(J16/'Tasas de Cambio'!$C$5,0)</f>
        <v>20333.25</v>
      </c>
      <c r="L16" s="54" t="s">
        <v>138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14</v>
      </c>
      <c r="B17" s="29" t="s">
        <v>139</v>
      </c>
      <c r="C17" s="30" t="s">
        <v>134</v>
      </c>
      <c r="D17" s="32" t="s">
        <v>140</v>
      </c>
      <c r="E17" s="33" t="s">
        <v>12</v>
      </c>
      <c r="F17" s="34">
        <v>18.0</v>
      </c>
      <c r="G17" s="33">
        <v>1.0</v>
      </c>
      <c r="H17" s="51">
        <f t="shared" si="1"/>
        <v>18</v>
      </c>
      <c r="I17" s="51">
        <f t="array" ref="I17">IFERROR(INDEX('Tasas de Cambio'!$E$11:$E$15,MATCH(E17,'Tasas de Cambio'!$B$11:$B$15,0)),0)</f>
        <v>3810.45</v>
      </c>
      <c r="J17" s="52">
        <f t="shared" si="2"/>
        <v>68588.09999999999</v>
      </c>
      <c r="K17" s="53">
        <f>IFERROR(J17/'Tasas de Cambio'!$C$5,0)</f>
        <v>22862.699999999997</v>
      </c>
      <c r="L17" s="54" t="s">
        <v>141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36</v>
      </c>
      <c r="B18" s="29" t="s">
        <v>142</v>
      </c>
      <c r="C18" s="30" t="s">
        <v>143</v>
      </c>
      <c r="D18" s="32" t="s">
        <v>144</v>
      </c>
      <c r="E18" s="33" t="s">
        <v>12</v>
      </c>
      <c r="F18" s="34">
        <v>150.0</v>
      </c>
      <c r="G18" s="33">
        <v>3.0</v>
      </c>
      <c r="H18" s="51">
        <f t="shared" si="1"/>
        <v>450</v>
      </c>
      <c r="I18" s="51">
        <f t="array" ref="I18">IFERROR(INDEX('Tasas de Cambio'!$E$11:$E$15,MATCH(E18,'Tasas de Cambio'!$B$11:$B$15,0)),0)</f>
        <v>3810.45</v>
      </c>
      <c r="J18" s="52">
        <f t="shared" si="2"/>
        <v>1714702.5</v>
      </c>
      <c r="K18" s="53">
        <f>IFERROR(J18/'Tasas de Cambio'!$C$5,0)</f>
        <v>571567.5</v>
      </c>
      <c r="L18" s="54" t="s">
        <v>145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59</v>
      </c>
      <c r="B19" s="29" t="s">
        <v>146</v>
      </c>
      <c r="C19" s="30" t="s">
        <v>134</v>
      </c>
      <c r="D19" s="32" t="s">
        <v>126</v>
      </c>
      <c r="E19" s="33" t="s">
        <v>12</v>
      </c>
      <c r="F19" s="34">
        <v>50.0</v>
      </c>
      <c r="G19" s="33">
        <v>3.0</v>
      </c>
      <c r="H19" s="51">
        <f t="shared" si="1"/>
        <v>150</v>
      </c>
      <c r="I19" s="51">
        <f t="array" ref="I19">IFERROR(INDEX('Tasas de Cambio'!$E$11:$E$15,MATCH(E19,'Tasas de Cambio'!$B$11:$B$15,0)),0)</f>
        <v>3810.45</v>
      </c>
      <c r="J19" s="52">
        <f t="shared" si="2"/>
        <v>571567.5</v>
      </c>
      <c r="K19" s="53">
        <f>IFERROR(J19/'Tasas de Cambio'!$C$5,0)</f>
        <v>190522.5</v>
      </c>
      <c r="L19" s="54" t="s">
        <v>127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57</v>
      </c>
      <c r="B20" s="29" t="s">
        <v>139</v>
      </c>
      <c r="C20" s="30" t="s">
        <v>147</v>
      </c>
      <c r="D20" s="32" t="s">
        <v>148</v>
      </c>
      <c r="E20" s="33" t="s">
        <v>12</v>
      </c>
      <c r="F20" s="34">
        <v>110.0</v>
      </c>
      <c r="G20" s="33">
        <v>3.0</v>
      </c>
      <c r="H20" s="51">
        <f t="shared" si="1"/>
        <v>330</v>
      </c>
      <c r="I20" s="51">
        <f t="array" ref="I20">IFERROR(INDEX('Tasas de Cambio'!$E$11:$E$15,MATCH(E20,'Tasas de Cambio'!$B$11:$B$15,0)),0)</f>
        <v>3810.45</v>
      </c>
      <c r="J20" s="52">
        <f t="shared" si="2"/>
        <v>1257448.5</v>
      </c>
      <c r="K20" s="53">
        <f>IFERROR(J20/'Tasas de Cambio'!$C$5,0)</f>
        <v>419149.5</v>
      </c>
      <c r="L20" s="54" t="s">
        <v>149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59</v>
      </c>
      <c r="B21" s="29" t="s">
        <v>146</v>
      </c>
      <c r="C21" s="30" t="s">
        <v>147</v>
      </c>
      <c r="D21" s="32" t="s">
        <v>126</v>
      </c>
      <c r="E21" s="33" t="s">
        <v>12</v>
      </c>
      <c r="F21" s="34">
        <v>50.0</v>
      </c>
      <c r="G21" s="33">
        <v>3.0</v>
      </c>
      <c r="H21" s="51">
        <f t="shared" si="1"/>
        <v>150</v>
      </c>
      <c r="I21" s="51">
        <f t="array" ref="I21">IFERROR(INDEX('Tasas de Cambio'!$E$11:$E$15,MATCH(E21,'Tasas de Cambio'!$B$11:$B$15,0)),0)</f>
        <v>3810.45</v>
      </c>
      <c r="J21" s="52">
        <f t="shared" si="2"/>
        <v>571567.5</v>
      </c>
      <c r="K21" s="53">
        <f>IFERROR(J21/'Tasas de Cambio'!$C$5,0)</f>
        <v>190522.5</v>
      </c>
      <c r="L21" s="54" t="s">
        <v>127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139</v>
      </c>
      <c r="C22" s="30" t="s">
        <v>150</v>
      </c>
      <c r="D22" s="32" t="s">
        <v>151</v>
      </c>
      <c r="E22" s="33" t="s">
        <v>12</v>
      </c>
      <c r="F22" s="34">
        <v>19.0</v>
      </c>
      <c r="G22" s="33">
        <v>3.0</v>
      </c>
      <c r="H22" s="51">
        <f t="shared" si="1"/>
        <v>57</v>
      </c>
      <c r="I22" s="51">
        <f t="array" ref="I22">IFERROR(INDEX('Tasas de Cambio'!$E$11:$E$15,MATCH(E22,'Tasas de Cambio'!$B$11:$B$15,0)),0)</f>
        <v>3810.45</v>
      </c>
      <c r="J22" s="52">
        <f t="shared" si="2"/>
        <v>217195.65</v>
      </c>
      <c r="K22" s="53">
        <f>IFERROR(J22/'Tasas de Cambio'!$C$5,0)</f>
        <v>72398.55</v>
      </c>
      <c r="L22" s="54" t="s">
        <v>152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146</v>
      </c>
      <c r="C23" s="30" t="s">
        <v>150</v>
      </c>
      <c r="D23" s="32" t="s">
        <v>126</v>
      </c>
      <c r="E23" s="33" t="s">
        <v>12</v>
      </c>
      <c r="F23" s="34">
        <v>50.0</v>
      </c>
      <c r="G23" s="33">
        <v>3.0</v>
      </c>
      <c r="H23" s="51">
        <f t="shared" si="1"/>
        <v>150</v>
      </c>
      <c r="I23" s="51">
        <f t="array" ref="I23">IFERROR(INDEX('Tasas de Cambio'!$E$11:$E$15,MATCH(E23,'Tasas de Cambio'!$B$11:$B$15,0)),0)</f>
        <v>3810.45</v>
      </c>
      <c r="J23" s="52">
        <f t="shared" si="2"/>
        <v>571567.5</v>
      </c>
      <c r="K23" s="53">
        <f>IFERROR(J23/'Tasas de Cambio'!$C$5,0)</f>
        <v>190522.5</v>
      </c>
      <c r="L23" s="54" t="s">
        <v>127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11</v>
      </c>
      <c r="B24" s="29" t="s">
        <v>153</v>
      </c>
      <c r="C24" s="30" t="s">
        <v>154</v>
      </c>
      <c r="D24" s="32" t="s">
        <v>155</v>
      </c>
      <c r="E24" s="33" t="s">
        <v>12</v>
      </c>
      <c r="F24" s="34">
        <v>130.0</v>
      </c>
      <c r="G24" s="33">
        <v>3.0</v>
      </c>
      <c r="H24" s="51">
        <f t="shared" si="1"/>
        <v>390</v>
      </c>
      <c r="I24" s="51">
        <f t="array" ref="I24">IFERROR(INDEX('Tasas de Cambio'!$E$11:$E$15,MATCH(E24,'Tasas de Cambio'!$B$11:$B$15,0)),0)</f>
        <v>3810.45</v>
      </c>
      <c r="J24" s="52">
        <f t="shared" si="2"/>
        <v>1486075.5</v>
      </c>
      <c r="K24" s="53">
        <f>IFERROR(J24/'Tasas de Cambio'!$C$5,0)</f>
        <v>495358.5</v>
      </c>
      <c r="L24" s="54" t="s">
        <v>156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14</v>
      </c>
      <c r="B25" s="29" t="s">
        <v>139</v>
      </c>
      <c r="C25" s="30" t="s">
        <v>154</v>
      </c>
      <c r="D25" s="32" t="s">
        <v>157</v>
      </c>
      <c r="E25" s="33" t="s">
        <v>12</v>
      </c>
      <c r="F25" s="34">
        <v>50.0</v>
      </c>
      <c r="G25" s="33">
        <v>1.0</v>
      </c>
      <c r="H25" s="51">
        <f t="shared" si="1"/>
        <v>50</v>
      </c>
      <c r="I25" s="51">
        <f t="array" ref="I25">IFERROR(INDEX('Tasas de Cambio'!$E$11:$E$15,MATCH(E25,'Tasas de Cambio'!$B$11:$B$15,0)),0)</f>
        <v>3810.45</v>
      </c>
      <c r="J25" s="52">
        <f t="shared" si="2"/>
        <v>190522.5</v>
      </c>
      <c r="K25" s="53">
        <f>IFERROR(J25/'Tasas de Cambio'!$C$5,0)</f>
        <v>63507.5</v>
      </c>
      <c r="L25" s="54" t="s">
        <v>158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159</v>
      </c>
      <c r="C26" s="30" t="s">
        <v>154</v>
      </c>
      <c r="D26" s="32" t="s">
        <v>160</v>
      </c>
      <c r="E26" s="33" t="s">
        <v>12</v>
      </c>
      <c r="F26" s="34">
        <v>40.0</v>
      </c>
      <c r="G26" s="33">
        <v>1.0</v>
      </c>
      <c r="H26" s="51">
        <f t="shared" si="1"/>
        <v>40</v>
      </c>
      <c r="I26" s="51">
        <f t="array" ref="I26">IFERROR(INDEX('Tasas de Cambio'!$E$11:$E$15,MATCH(E26,'Tasas de Cambio'!$B$11:$B$15,0)),0)</f>
        <v>3810.45</v>
      </c>
      <c r="J26" s="52">
        <f t="shared" si="2"/>
        <v>152418.0</v>
      </c>
      <c r="K26" s="53">
        <f>IFERROR(J26/'Tasas de Cambio'!$C$5,0)</f>
        <v>50806.0</v>
      </c>
      <c r="L26" s="54" t="s">
        <v>123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164</v>
      </c>
      <c r="C27" s="30" t="s">
        <v>165</v>
      </c>
      <c r="D27" s="32" t="s">
        <v>379</v>
      </c>
      <c r="E27" s="33" t="s">
        <v>55</v>
      </c>
      <c r="F27" s="34">
        <v>1900000.0</v>
      </c>
      <c r="G27" s="33">
        <v>1.0</v>
      </c>
      <c r="H27" s="51">
        <f>IFERROR(F27*G27,0)</f>
        <v>1900000.0</v>
      </c>
      <c r="I27" s="51">
        <f t="array" ref="I27">IFERROR(INDEX('Tasas de Cambio'!$E$11:$E$15,MATCH(E27,'Tasas de Cambio'!$B$11:$B$15,0)),0)</f>
        <v>1.0</v>
      </c>
      <c r="J27" s="52">
        <f>IFERROR(H27*I27,0)</f>
        <v>1900000.0</v>
      </c>
      <c r="K27" s="53">
        <f>IFERROR(J27/'Tasas de Cambio'!$C$5,0)</f>
        <v>633333.3333333334</v>
      </c>
      <c r="L27" s="54" t="s">
        <v>380</v>
      </c>
      <c r="M27" s="1" t="s">
        <v>374</v>
      </c>
    </row>
    <row r="28" ht="30.0" customHeight="1">
      <c r="A28" s="29" t="s">
        <v>59</v>
      </c>
      <c r="B28" s="29" t="s">
        <v>171</v>
      </c>
      <c r="C28" s="30" t="s">
        <v>154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 t="s">
        <v>123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29" t="s">
        <v>14</v>
      </c>
      <c r="B29" s="29" t="s">
        <v>171</v>
      </c>
      <c r="C29" s="30" t="s">
        <v>173</v>
      </c>
      <c r="D29" s="32" t="s">
        <v>174</v>
      </c>
      <c r="E29" s="33" t="s">
        <v>12</v>
      </c>
      <c r="F29" s="34">
        <v>12.0</v>
      </c>
      <c r="G29" s="33">
        <v>3.0</v>
      </c>
      <c r="H29" s="51">
        <f t="shared" si="1"/>
        <v>36</v>
      </c>
      <c r="I29" s="51">
        <f t="array" ref="I29">IFERROR(INDEX('Tasas de Cambio'!$E$11:$E$15,MATCH(E29,'Tasas de Cambio'!$B$11:$B$15,0)),0)</f>
        <v>3810.45</v>
      </c>
      <c r="J29" s="52">
        <f t="shared" si="2"/>
        <v>137176.19999999998</v>
      </c>
      <c r="K29" s="53">
        <f>IFERROR(J29/'Tasas de Cambio'!$C$5,0)</f>
        <v>45725.399999999994</v>
      </c>
      <c r="L29" s="54" t="s">
        <v>123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57</v>
      </c>
      <c r="B30" s="29" t="s">
        <v>171</v>
      </c>
      <c r="C30" s="30" t="s">
        <v>173</v>
      </c>
      <c r="D30" s="32" t="s">
        <v>381</v>
      </c>
      <c r="E30" s="33" t="s">
        <v>97</v>
      </c>
      <c r="F30" s="34">
        <v>10.0</v>
      </c>
      <c r="G30" s="33">
        <v>3.0</v>
      </c>
      <c r="H30" s="51">
        <f>IFERROR(F30*G30,0)</f>
        <v>30.0</v>
      </c>
      <c r="I30" s="51">
        <f t="array" ref="I30">IFERROR(INDEX('Tasas de Cambio'!$E$11:$E$15,MATCH(E30,'Tasas de Cambio'!$B$11:$B$15,0)),0)</f>
        <v>3270.75</v>
      </c>
      <c r="J30" s="52">
        <f>IFERROR(H30*I30,0)</f>
        <v>98122.5</v>
      </c>
      <c r="K30" s="53">
        <f>IFERROR(J30/'Tasas de Cambio'!$C$5,0)</f>
        <v>32707.5</v>
      </c>
      <c r="L30" s="54" t="s">
        <v>382</v>
      </c>
      <c r="M30" s="1" t="s">
        <v>374</v>
      </c>
    </row>
    <row r="31" ht="30.0" customHeight="1">
      <c r="A31" s="29" t="s">
        <v>59</v>
      </c>
      <c r="B31" s="29" t="s">
        <v>171</v>
      </c>
      <c r="C31" s="30" t="s">
        <v>173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 t="s">
        <v>123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14</v>
      </c>
      <c r="B32" s="29" t="s">
        <v>159</v>
      </c>
      <c r="C32" s="30" t="s">
        <v>179</v>
      </c>
      <c r="D32" s="32" t="s">
        <v>180</v>
      </c>
      <c r="E32" s="33" t="s">
        <v>12</v>
      </c>
      <c r="F32" s="34">
        <v>30.0</v>
      </c>
      <c r="G32" s="33">
        <v>1.0</v>
      </c>
      <c r="H32" s="51">
        <f t="shared" si="1"/>
        <v>30</v>
      </c>
      <c r="I32" s="51">
        <f t="array" ref="I32">IFERROR(INDEX('Tasas de Cambio'!$E$11:$E$15,MATCH(E32,'Tasas de Cambio'!$B$11:$B$15,0)),0)</f>
        <v>3810.45</v>
      </c>
      <c r="J32" s="52">
        <f t="shared" si="2"/>
        <v>114313.5</v>
      </c>
      <c r="K32" s="53">
        <f>IFERROR(J32/'Tasas de Cambio'!$C$5,0)</f>
        <v>38104.5</v>
      </c>
      <c r="L32" s="54" t="s">
        <v>123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0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5.75" customHeight="1">
      <c r="A34" s="29" t="s">
        <v>57</v>
      </c>
      <c r="B34" s="29" t="s">
        <v>171</v>
      </c>
      <c r="C34" s="30" t="s">
        <v>179</v>
      </c>
      <c r="D34" s="32" t="s">
        <v>188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0" customHeight="1">
      <c r="A35" s="29" t="s">
        <v>59</v>
      </c>
      <c r="B35" s="29" t="s">
        <v>171</v>
      </c>
      <c r="C35" s="30" t="s">
        <v>179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 t="s">
        <v>123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14</v>
      </c>
      <c r="B36" s="29" t="s">
        <v>228</v>
      </c>
      <c r="C36" s="30" t="s">
        <v>210</v>
      </c>
      <c r="D36" s="32" t="s">
        <v>402</v>
      </c>
      <c r="E36" s="33" t="s">
        <v>12</v>
      </c>
      <c r="F36" s="34">
        <v>25.0</v>
      </c>
      <c r="G36" s="33">
        <v>3.0</v>
      </c>
      <c r="H36" s="51">
        <f>IFERROR(F36*G36,0)</f>
        <v>75.0</v>
      </c>
      <c r="I36" s="51">
        <f t="array" ref="I36">IFERROR(INDEX('Tasas de Cambio'!$E$11:$E$15,MATCH(E36,'Tasas de Cambio'!$B$11:$B$15,0)),0)</f>
        <v>3810.45</v>
      </c>
      <c r="J36" s="52">
        <f>IFERROR(H36*I36,0)</f>
        <v>285783.75</v>
      </c>
      <c r="K36" s="53">
        <f>IFERROR(J36/'Tasas de Cambio'!$C$5,0)</f>
        <v>95261.25</v>
      </c>
      <c r="L36" s="54" t="s">
        <v>403</v>
      </c>
      <c r="M36" s="1" t="s">
        <v>374</v>
      </c>
    </row>
    <row r="37" ht="30.0" customHeight="1">
      <c r="A37" s="29" t="s">
        <v>57</v>
      </c>
      <c r="B37" s="29" t="s">
        <v>194</v>
      </c>
      <c r="C37" s="30" t="s">
        <v>195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 t="s">
        <v>195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3810.45</v>
      </c>
      <c r="J38" s="52">
        <f t="shared" si="2"/>
        <v>285783.75</v>
      </c>
      <c r="K38" s="53">
        <f>IFERROR(J38/'Tasas de Cambio'!$C$5,0)</f>
        <v>95261.25</v>
      </c>
      <c r="L38" s="54" t="s">
        <v>123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0" customHeight="1">
      <c r="A39" s="29" t="s">
        <v>57</v>
      </c>
      <c r="B39" s="29" t="s">
        <v>198</v>
      </c>
      <c r="C39" s="30" t="s">
        <v>199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15.75" customHeight="1">
      <c r="A40" s="29" t="s">
        <v>59</v>
      </c>
      <c r="B40" s="29" t="s">
        <v>198</v>
      </c>
      <c r="C40" s="30" t="s">
        <v>199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3810.45</v>
      </c>
      <c r="J40" s="52">
        <f t="shared" si="2"/>
        <v>285783.75</v>
      </c>
      <c r="K40" s="53">
        <f>IFERROR(J40/'Tasas de Cambio'!$C$5,0)</f>
        <v>95261.25</v>
      </c>
      <c r="L40" s="54" t="s">
        <v>123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0" customHeight="1">
      <c r="A41" s="29" t="s">
        <v>57</v>
      </c>
      <c r="B41" s="29" t="s">
        <v>201</v>
      </c>
      <c r="C41" s="30" t="s">
        <v>202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 t="shared" si="1"/>
        <v>0</v>
      </c>
      <c r="I41" s="51">
        <f t="array" ref="I41">IFERROR(INDEX('Tasas de Cambio'!$E$11:$E$15,MATCH(E41,'Tasas de Cambio'!$B$11:$B$15,0)),0)</f>
        <v>3810.45</v>
      </c>
      <c r="J41" s="52">
        <f t="shared" si="2"/>
        <v>0.0</v>
      </c>
      <c r="K41" s="53">
        <f>IFERROR(J41/'Tasas de Cambio'!$C$5,0)</f>
        <v>0.0</v>
      </c>
      <c r="L41" s="54" t="s">
        <v>123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59</v>
      </c>
      <c r="B42" s="29" t="s">
        <v>201</v>
      </c>
      <c r="C42" s="30" t="s">
        <v>202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11</v>
      </c>
      <c r="B43" s="29" t="s">
        <v>209</v>
      </c>
      <c r="C43" s="30" t="s">
        <v>210</v>
      </c>
      <c r="D43" s="32" t="s">
        <v>406</v>
      </c>
      <c r="E43" s="33" t="s">
        <v>12</v>
      </c>
      <c r="F43" s="34">
        <v>25.0</v>
      </c>
      <c r="G43" s="33">
        <v>3.0</v>
      </c>
      <c r="H43" s="51">
        <f>IFERROR(F43*G43,0)</f>
        <v>75.0</v>
      </c>
      <c r="I43" s="51">
        <f t="array" ref="I43">IFERROR(INDEX('Tasas de Cambio'!$E$11:$E$15,MATCH(E43,'Tasas de Cambio'!$B$11:$B$15,0)),0)</f>
        <v>3810.45</v>
      </c>
      <c r="J43" s="52">
        <f>IFERROR(H43*I43,0)</f>
        <v>285783.75</v>
      </c>
      <c r="K43" s="53">
        <f>IFERROR(J43/'Tasas de Cambio'!$C$5,0)</f>
        <v>95261.25</v>
      </c>
      <c r="L43" s="54" t="s">
        <v>408</v>
      </c>
      <c r="M43" s="1" t="s">
        <v>374</v>
      </c>
    </row>
    <row r="44" ht="30.0" customHeight="1">
      <c r="A44" s="29" t="s">
        <v>14</v>
      </c>
      <c r="B44" s="29" t="s">
        <v>206</v>
      </c>
      <c r="C44" s="30" t="s">
        <v>207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>IFERROR(F44*G44,0)</f>
        <v>30.0</v>
      </c>
      <c r="I44" s="51">
        <f t="array" ref="I44">IFERROR(INDEX('Tasas de Cambio'!$E$11:$E$15,MATCH(E44,'Tasas de Cambio'!$B$11:$B$15,0)),0)</f>
        <v>3810.45</v>
      </c>
      <c r="J44" s="52">
        <f>IFERROR(H44*I44,0)</f>
        <v>114313.5</v>
      </c>
      <c r="K44" s="53">
        <f>IFERROR(J44/'Tasas de Cambio'!$C$5,0)</f>
        <v>38104.5</v>
      </c>
      <c r="L44" s="54" t="s">
        <v>123</v>
      </c>
      <c r="M44" s="1" t="s">
        <v>374</v>
      </c>
    </row>
    <row r="45" ht="30.0" customHeight="1">
      <c r="A45" s="29" t="s">
        <v>59</v>
      </c>
      <c r="B45" s="29" t="s">
        <v>206</v>
      </c>
      <c r="C45" s="30" t="s">
        <v>207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14</v>
      </c>
      <c r="B46" s="29" t="s">
        <v>209</v>
      </c>
      <c r="C46" s="30" t="s">
        <v>210</v>
      </c>
      <c r="D46" s="32" t="s">
        <v>404</v>
      </c>
      <c r="E46" s="33" t="s">
        <v>12</v>
      </c>
      <c r="F46" s="34">
        <v>12.0</v>
      </c>
      <c r="G46" s="33">
        <v>3.0</v>
      </c>
      <c r="H46" s="51">
        <f>IFERROR(F46*G46,0)</f>
        <v>36.0</v>
      </c>
      <c r="I46" s="51">
        <f t="array" ref="I46">IFERROR(INDEX('Tasas de Cambio'!$E$11:$E$15,MATCH(E46,'Tasas de Cambio'!$B$11:$B$15,0)),0)</f>
        <v>3810.45</v>
      </c>
      <c r="J46" s="52">
        <f>IFERROR(H46*I46,0)</f>
        <v>137176.19999999998</v>
      </c>
      <c r="K46" s="53">
        <f>IFERROR(J46/'Tasas de Cambio'!$C$5,0)</f>
        <v>45725.399999999994</v>
      </c>
      <c r="L46" s="54" t="s">
        <v>123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 t="s">
        <v>210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 t="s">
        <v>123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209</v>
      </c>
      <c r="C49" s="30" t="s">
        <v>217</v>
      </c>
      <c r="D49" s="32" t="s">
        <v>218</v>
      </c>
      <c r="E49" s="33" t="s">
        <v>12</v>
      </c>
      <c r="F49" s="34">
        <v>60.0</v>
      </c>
      <c r="G49" s="33">
        <v>3.0</v>
      </c>
      <c r="H49" s="51">
        <f t="shared" si="1"/>
        <v>180</v>
      </c>
      <c r="I49" s="51">
        <f t="array" ref="I49">IFERROR(INDEX('Tasas de Cambio'!$E$11:$E$15,MATCH(E49,'Tasas de Cambio'!$B$11:$B$15,0)),0)</f>
        <v>3810.45</v>
      </c>
      <c r="J49" s="52">
        <f t="shared" si="2"/>
        <v>685881.0</v>
      </c>
      <c r="K49" s="53">
        <f>IFERROR(J49/'Tasas de Cambio'!$C$5,0)</f>
        <v>228627.0</v>
      </c>
      <c r="L49" s="54" t="s">
        <v>219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 t="s">
        <v>217</v>
      </c>
      <c r="D50" s="32" t="s">
        <v>220</v>
      </c>
      <c r="E50" s="33" t="s">
        <v>12</v>
      </c>
      <c r="F50" s="34">
        <v>20.0</v>
      </c>
      <c r="G50" s="33">
        <v>1.0</v>
      </c>
      <c r="H50" s="51">
        <f t="shared" si="1"/>
        <v>20</v>
      </c>
      <c r="I50" s="51">
        <f t="array" ref="I50">IFERROR(INDEX('Tasas de Cambio'!$E$11:$E$15,MATCH(E50,'Tasas de Cambio'!$B$11:$B$15,0)),0)</f>
        <v>3810.45</v>
      </c>
      <c r="J50" s="52">
        <f t="shared" si="2"/>
        <v>76209.0</v>
      </c>
      <c r="K50" s="53">
        <f>IFERROR(J50/'Tasas de Cambio'!$C$5,0)</f>
        <v>25403.0</v>
      </c>
      <c r="L50" s="54" t="s">
        <v>221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 t="s">
        <v>217</v>
      </c>
      <c r="D51" s="32" t="s">
        <v>222</v>
      </c>
      <c r="E51" s="33" t="s">
        <v>12</v>
      </c>
      <c r="F51" s="34">
        <v>18.0</v>
      </c>
      <c r="G51" s="33">
        <v>1.0</v>
      </c>
      <c r="H51" s="51">
        <f t="shared" si="1"/>
        <v>18</v>
      </c>
      <c r="I51" s="51">
        <f t="array" ref="I51">IFERROR(INDEX('Tasas de Cambio'!$E$11:$E$15,MATCH(E51,'Tasas de Cambio'!$B$11:$B$15,0)),0)</f>
        <v>3810.45</v>
      </c>
      <c r="J51" s="52">
        <f t="shared" si="2"/>
        <v>68588.09999999999</v>
      </c>
      <c r="K51" s="53">
        <f>IFERROR(J51/'Tasas de Cambio'!$C$5,0)</f>
        <v>22862.699999999997</v>
      </c>
      <c r="L51" s="54" t="s">
        <v>223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36</v>
      </c>
      <c r="B52" s="29" t="s">
        <v>224</v>
      </c>
      <c r="C52" s="30" t="s">
        <v>225</v>
      </c>
      <c r="D52" s="32" t="s">
        <v>226</v>
      </c>
      <c r="E52" s="33" t="s">
        <v>12</v>
      </c>
      <c r="F52" s="34">
        <v>65.0</v>
      </c>
      <c r="G52" s="33">
        <v>3.0</v>
      </c>
      <c r="H52" s="51">
        <f t="shared" si="1"/>
        <v>195</v>
      </c>
      <c r="I52" s="51">
        <f t="array" ref="I52">IFERROR(INDEX('Tasas de Cambio'!$E$11:$E$15,MATCH(E52,'Tasas de Cambio'!$B$11:$B$15,0)),0)</f>
        <v>3810.45</v>
      </c>
      <c r="J52" s="52">
        <f t="shared" si="2"/>
        <v>743037.75</v>
      </c>
      <c r="K52" s="53">
        <f>IFERROR(J52/'Tasas de Cambio'!$C$5,0)</f>
        <v>247679.25</v>
      </c>
      <c r="L52" s="54" t="s">
        <v>227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 t="s">
        <v>57</v>
      </c>
      <c r="B53" s="29" t="s">
        <v>228</v>
      </c>
      <c r="C53" s="30" t="s">
        <v>210</v>
      </c>
      <c r="D53" s="32" t="s">
        <v>400</v>
      </c>
      <c r="E53" s="33" t="s">
        <v>12</v>
      </c>
      <c r="F53" s="34">
        <v>10.0</v>
      </c>
      <c r="G53" s="33">
        <v>3.0</v>
      </c>
      <c r="H53" s="51">
        <f>IFERROR(F53*G53,0)</f>
        <v>30.0</v>
      </c>
      <c r="I53" s="51">
        <f t="array" ref="I53">IFERROR(INDEX('Tasas de Cambio'!$E$11:$E$15,MATCH(E53,'Tasas de Cambio'!$B$11:$B$15,0)),0)</f>
        <v>3810.45</v>
      </c>
      <c r="J53" s="52">
        <f>IFERROR(H53*I53,0)</f>
        <v>114313.5</v>
      </c>
      <c r="K53" s="53">
        <f>IFERROR(J53/'Tasas de Cambio'!$C$5,0)</f>
        <v>38104.5</v>
      </c>
      <c r="L53" s="54" t="s">
        <v>401</v>
      </c>
      <c r="M53" s="1" t="s">
        <v>374</v>
      </c>
    </row>
    <row r="54" ht="30.0" customHeight="1">
      <c r="A54" s="29" t="s">
        <v>59</v>
      </c>
      <c r="B54" s="29" t="s">
        <v>228</v>
      </c>
      <c r="C54" s="30" t="s">
        <v>217</v>
      </c>
      <c r="D54" s="32" t="s">
        <v>230</v>
      </c>
      <c r="E54" s="33" t="s">
        <v>12</v>
      </c>
      <c r="F54" s="34">
        <v>25.0</v>
      </c>
      <c r="G54" s="33">
        <v>3.0</v>
      </c>
      <c r="H54" s="51">
        <f t="shared" si="1"/>
        <v>75</v>
      </c>
      <c r="I54" s="51">
        <f t="array" ref="I54">IFERROR(INDEX('Tasas de Cambio'!$E$11:$E$15,MATCH(E54,'Tasas de Cambio'!$B$11:$B$15,0)),0)</f>
        <v>3810.45</v>
      </c>
      <c r="J54" s="52">
        <f t="shared" si="2"/>
        <v>285783.75</v>
      </c>
      <c r="K54" s="53">
        <f>IFERROR(J54/'Tasas de Cambio'!$C$5,0)</f>
        <v>95261.25</v>
      </c>
      <c r="L54" s="54" t="s">
        <v>123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 t="s">
        <v>57</v>
      </c>
      <c r="B55" s="29" t="s">
        <v>231</v>
      </c>
      <c r="C55" s="30" t="s">
        <v>232</v>
      </c>
      <c r="D55" s="32" t="s">
        <v>233</v>
      </c>
      <c r="E55" s="33" t="s">
        <v>12</v>
      </c>
      <c r="F55" s="34">
        <v>60.0</v>
      </c>
      <c r="G55" s="33">
        <v>3.0</v>
      </c>
      <c r="H55" s="51">
        <f t="shared" si="1"/>
        <v>180</v>
      </c>
      <c r="I55" s="51">
        <f t="array" ref="I55">IFERROR(INDEX('Tasas de Cambio'!$E$11:$E$15,MATCH(E55,'Tasas de Cambio'!$B$11:$B$15,0)),0)</f>
        <v>3810.45</v>
      </c>
      <c r="J55" s="52">
        <f t="shared" si="2"/>
        <v>685881.0</v>
      </c>
      <c r="K55" s="53">
        <f>IFERROR(J55/'Tasas de Cambio'!$C$5,0)</f>
        <v>228627.0</v>
      </c>
      <c r="L55" s="54" t="s">
        <v>234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29" t="s">
        <v>59</v>
      </c>
      <c r="B56" s="29" t="s">
        <v>231</v>
      </c>
      <c r="C56" s="30" t="s">
        <v>235</v>
      </c>
      <c r="D56" s="32" t="s">
        <v>126</v>
      </c>
      <c r="E56" s="33" t="s">
        <v>12</v>
      </c>
      <c r="F56" s="34">
        <v>45.0</v>
      </c>
      <c r="G56" s="33">
        <v>6.0</v>
      </c>
      <c r="H56" s="51">
        <f t="shared" si="1"/>
        <v>270</v>
      </c>
      <c r="I56" s="51">
        <f t="array" ref="I56">IFERROR(INDEX('Tasas de Cambio'!$E$11:$E$15,MATCH(E56,'Tasas de Cambio'!$B$11:$B$15,0)),0)</f>
        <v>3810.45</v>
      </c>
      <c r="J56" s="52">
        <f t="shared" si="2"/>
        <v>1028821.5</v>
      </c>
      <c r="K56" s="53">
        <f>IFERROR(J56/'Tasas de Cambio'!$C$5,0)</f>
        <v>342940.5</v>
      </c>
      <c r="L56" s="54" t="s">
        <v>127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29" t="s">
        <v>57</v>
      </c>
      <c r="B57" s="29" t="s">
        <v>231</v>
      </c>
      <c r="C57" s="30" t="s">
        <v>236</v>
      </c>
      <c r="D57" s="32" t="s">
        <v>237</v>
      </c>
      <c r="E57" s="33" t="s">
        <v>12</v>
      </c>
      <c r="F57" s="34">
        <v>65.0</v>
      </c>
      <c r="G57" s="33">
        <v>3.0</v>
      </c>
      <c r="H57" s="51">
        <f t="shared" si="1"/>
        <v>195</v>
      </c>
      <c r="I57" s="51">
        <f t="array" ref="I57">IFERROR(INDEX('Tasas de Cambio'!$E$11:$E$15,MATCH(E57,'Tasas de Cambio'!$B$11:$B$15,0)),0)</f>
        <v>3810.45</v>
      </c>
      <c r="J57" s="52">
        <f t="shared" si="2"/>
        <v>743037.75</v>
      </c>
      <c r="K57" s="53">
        <f>IFERROR(J57/'Tasas de Cambio'!$C$5,0)</f>
        <v>247679.25</v>
      </c>
      <c r="L57" s="54" t="s">
        <v>238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29" t="s">
        <v>11</v>
      </c>
      <c r="B58" s="29" t="s">
        <v>239</v>
      </c>
      <c r="C58" s="30" t="s">
        <v>240</v>
      </c>
      <c r="D58" s="32" t="s">
        <v>241</v>
      </c>
      <c r="E58" s="33" t="s">
        <v>12</v>
      </c>
      <c r="F58" s="34">
        <v>80.0</v>
      </c>
      <c r="G58" s="33">
        <v>3.0</v>
      </c>
      <c r="H58" s="51">
        <f t="shared" si="1"/>
        <v>240</v>
      </c>
      <c r="I58" s="51">
        <f t="array" ref="I58">IFERROR(INDEX('Tasas de Cambio'!$E$11:$E$15,MATCH(E58,'Tasas de Cambio'!$B$11:$B$15,0)),0)</f>
        <v>3810.45</v>
      </c>
      <c r="J58" s="52">
        <f t="shared" si="2"/>
        <v>914508.0</v>
      </c>
      <c r="K58" s="53">
        <f>IFERROR(J58/'Tasas de Cambio'!$C$5,0)</f>
        <v>304836.0</v>
      </c>
      <c r="L58" s="54" t="s">
        <v>242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30.0" customHeight="1">
      <c r="A59" s="29" t="s">
        <v>14</v>
      </c>
      <c r="B59" s="29" t="s">
        <v>209</v>
      </c>
      <c r="C59" s="30" t="s">
        <v>240</v>
      </c>
      <c r="D59" s="32" t="s">
        <v>243</v>
      </c>
      <c r="E59" s="33" t="s">
        <v>12</v>
      </c>
      <c r="F59" s="34">
        <v>55.0</v>
      </c>
      <c r="G59" s="33">
        <v>1.0</v>
      </c>
      <c r="H59" s="51">
        <f t="shared" si="1"/>
        <v>55</v>
      </c>
      <c r="I59" s="51">
        <f t="array" ref="I59">IFERROR(INDEX('Tasas de Cambio'!$E$11:$E$15,MATCH(E59,'Tasas de Cambio'!$B$11:$B$15,0)),0)</f>
        <v>3810.45</v>
      </c>
      <c r="J59" s="52">
        <f t="shared" si="2"/>
        <v>209574.75</v>
      </c>
      <c r="K59" s="53">
        <f>IFERROR(J59/'Tasas de Cambio'!$C$5,0)</f>
        <v>69858.25</v>
      </c>
      <c r="L59" s="54" t="s">
        <v>244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30.0" customHeight="1">
      <c r="A60" s="29" t="s">
        <v>14</v>
      </c>
      <c r="B60" s="29" t="s">
        <v>245</v>
      </c>
      <c r="C60" s="30" t="s">
        <v>240</v>
      </c>
      <c r="D60" s="32" t="s">
        <v>246</v>
      </c>
      <c r="E60" s="33" t="s">
        <v>12</v>
      </c>
      <c r="F60" s="34">
        <v>28.0</v>
      </c>
      <c r="G60" s="33">
        <v>1.0</v>
      </c>
      <c r="H60" s="51">
        <f t="shared" si="1"/>
        <v>28</v>
      </c>
      <c r="I60" s="51">
        <f t="array" ref="I60">IFERROR(INDEX('Tasas de Cambio'!$E$11:$E$15,MATCH(E60,'Tasas de Cambio'!$B$11:$B$15,0)),0)</f>
        <v>3810.45</v>
      </c>
      <c r="J60" s="52">
        <f t="shared" si="2"/>
        <v>106692.59999999999</v>
      </c>
      <c r="K60" s="53">
        <f>IFERROR(J60/'Tasas de Cambio'!$C$5,0)</f>
        <v>35564.2</v>
      </c>
      <c r="L60" s="54" t="s">
        <v>247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29" t="s">
        <v>36</v>
      </c>
      <c r="B61" s="29" t="s">
        <v>248</v>
      </c>
      <c r="C61" s="30" t="s">
        <v>249</v>
      </c>
      <c r="D61" s="32" t="s">
        <v>250</v>
      </c>
      <c r="E61" s="33" t="s">
        <v>37</v>
      </c>
      <c r="F61" s="34">
        <v>2000.0</v>
      </c>
      <c r="G61" s="33">
        <v>3.0</v>
      </c>
      <c r="H61" s="51">
        <f t="shared" si="1"/>
        <v>6000</v>
      </c>
      <c r="I61" s="51">
        <f t="array" ref="I61">IFERROR(INDEX('Tasas de Cambio'!$E$11:$E$15,MATCH(E61,'Tasas de Cambio'!$B$11:$B$15,0)),0)</f>
        <v>157.82</v>
      </c>
      <c r="J61" s="52">
        <f t="shared" si="2"/>
        <v>946920.0</v>
      </c>
      <c r="K61" s="53">
        <f>IFERROR(J61/'Tasas de Cambio'!$C$5,0)</f>
        <v>315640.0</v>
      </c>
      <c r="L61" s="54" t="s">
        <v>251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29" t="s">
        <v>57</v>
      </c>
      <c r="B62" s="29" t="s">
        <v>245</v>
      </c>
      <c r="C62" s="30" t="s">
        <v>252</v>
      </c>
      <c r="D62" s="32" t="s">
        <v>253</v>
      </c>
      <c r="E62" s="33" t="s">
        <v>37</v>
      </c>
      <c r="F62" s="34">
        <v>1150.0</v>
      </c>
      <c r="G62" s="33">
        <v>3.0</v>
      </c>
      <c r="H62" s="51">
        <f t="shared" si="1"/>
        <v>3450</v>
      </c>
      <c r="I62" s="51">
        <f t="array" ref="I62">IFERROR(INDEX('Tasas de Cambio'!$E$11:$E$15,MATCH(E62,'Tasas de Cambio'!$B$11:$B$15,0)),0)</f>
        <v>157.82</v>
      </c>
      <c r="J62" s="52">
        <f t="shared" si="2"/>
        <v>544479.0</v>
      </c>
      <c r="K62" s="53">
        <f>IFERROR(J62/'Tasas de Cambio'!$C$5,0)</f>
        <v>181493.0</v>
      </c>
      <c r="L62" s="54" t="s">
        <v>254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29" t="s">
        <v>59</v>
      </c>
      <c r="B63" s="29" t="s">
        <v>255</v>
      </c>
      <c r="C63" s="30" t="s">
        <v>256</v>
      </c>
      <c r="D63" s="32" t="s">
        <v>126</v>
      </c>
      <c r="E63" s="33" t="s">
        <v>37</v>
      </c>
      <c r="F63" s="34">
        <v>550.0</v>
      </c>
      <c r="G63" s="33">
        <v>6.0</v>
      </c>
      <c r="H63" s="51">
        <f t="shared" si="1"/>
        <v>3300</v>
      </c>
      <c r="I63" s="51">
        <f t="array" ref="I63">IFERROR(INDEX('Tasas de Cambio'!$E$11:$E$15,MATCH(E63,'Tasas de Cambio'!$B$11:$B$15,0)),0)</f>
        <v>157.82</v>
      </c>
      <c r="J63" s="52">
        <f t="shared" si="2"/>
        <v>520806.0</v>
      </c>
      <c r="K63" s="53">
        <f>IFERROR(J63/'Tasas de Cambio'!$C$5,0)</f>
        <v>173602.0</v>
      </c>
      <c r="L63" s="54" t="s">
        <v>127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0.0" customHeight="1">
      <c r="A64" s="29" t="s">
        <v>57</v>
      </c>
      <c r="B64" s="29" t="s">
        <v>245</v>
      </c>
      <c r="C64" s="30" t="s">
        <v>257</v>
      </c>
      <c r="D64" s="32" t="s">
        <v>258</v>
      </c>
      <c r="E64" s="33" t="s">
        <v>37</v>
      </c>
      <c r="F64" s="34">
        <v>500.0</v>
      </c>
      <c r="G64" s="33">
        <v>3.0</v>
      </c>
      <c r="H64" s="51">
        <f t="shared" si="1"/>
        <v>1500</v>
      </c>
      <c r="I64" s="51">
        <f t="array" ref="I64">IFERROR(INDEX('Tasas de Cambio'!$E$11:$E$15,MATCH(E64,'Tasas de Cambio'!$B$11:$B$15,0)),0)</f>
        <v>157.82</v>
      </c>
      <c r="J64" s="52">
        <f t="shared" si="2"/>
        <v>236730.0</v>
      </c>
      <c r="K64" s="53">
        <f>IFERROR(J64/'Tasas de Cambio'!$C$5,0)</f>
        <v>78910.0</v>
      </c>
      <c r="L64" s="54" t="s">
        <v>259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29" t="s">
        <v>11</v>
      </c>
      <c r="B65" s="29" t="s">
        <v>260</v>
      </c>
      <c r="C65" s="30" t="s">
        <v>261</v>
      </c>
      <c r="D65" s="32" t="s">
        <v>262</v>
      </c>
      <c r="E65" s="33" t="s">
        <v>12</v>
      </c>
      <c r="F65" s="34">
        <v>40.0</v>
      </c>
      <c r="G65" s="33">
        <v>3.0</v>
      </c>
      <c r="H65" s="51">
        <f t="shared" si="1"/>
        <v>120</v>
      </c>
      <c r="I65" s="51">
        <f t="array" ref="I65">IFERROR(INDEX('Tasas de Cambio'!$E$11:$E$15,MATCH(E65,'Tasas de Cambio'!$B$11:$B$15,0)),0)</f>
        <v>3810.45</v>
      </c>
      <c r="J65" s="52">
        <f t="shared" si="2"/>
        <v>457254.0</v>
      </c>
      <c r="K65" s="53">
        <f>IFERROR(J65/'Tasas de Cambio'!$C$5,0)</f>
        <v>152418.0</v>
      </c>
      <c r="L65" s="54" t="s">
        <v>263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29" t="s">
        <v>14</v>
      </c>
      <c r="B66" s="29" t="s">
        <v>260</v>
      </c>
      <c r="C66" s="30" t="s">
        <v>261</v>
      </c>
      <c r="D66" s="32" t="s">
        <v>264</v>
      </c>
      <c r="E66" s="33" t="s">
        <v>12</v>
      </c>
      <c r="F66" s="34">
        <v>18.0</v>
      </c>
      <c r="G66" s="33">
        <v>1.0</v>
      </c>
      <c r="H66" s="51">
        <f t="shared" si="1"/>
        <v>18</v>
      </c>
      <c r="I66" s="51">
        <f t="array" ref="I66">IFERROR(INDEX('Tasas de Cambio'!$E$11:$E$15,MATCH(E66,'Tasas de Cambio'!$B$11:$B$15,0)),0)</f>
        <v>3810.45</v>
      </c>
      <c r="J66" s="52">
        <f t="shared" si="2"/>
        <v>68588.09999999999</v>
      </c>
      <c r="K66" s="53">
        <f>IFERROR(J66/'Tasas de Cambio'!$C$5,0)</f>
        <v>22862.699999999997</v>
      </c>
      <c r="L66" s="54" t="s">
        <v>265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29" t="s">
        <v>36</v>
      </c>
      <c r="B67" s="29" t="s">
        <v>266</v>
      </c>
      <c r="C67" s="30" t="s">
        <v>267</v>
      </c>
      <c r="D67" s="32" t="s">
        <v>268</v>
      </c>
      <c r="E67" s="33" t="s">
        <v>12</v>
      </c>
      <c r="F67" s="34">
        <v>95.0</v>
      </c>
      <c r="G67" s="33">
        <v>3.0</v>
      </c>
      <c r="H67" s="51">
        <f t="shared" si="1"/>
        <v>285</v>
      </c>
      <c r="I67" s="51">
        <f t="array" ref="I67">IFERROR(INDEX('Tasas de Cambio'!$E$11:$E$15,MATCH(E67,'Tasas de Cambio'!$B$11:$B$15,0)),0)</f>
        <v>3810.45</v>
      </c>
      <c r="J67" s="52">
        <f t="shared" si="2"/>
        <v>1085978.25</v>
      </c>
      <c r="K67" s="53">
        <f>IFERROR(J67/'Tasas de Cambio'!$C$5,0)</f>
        <v>361992.75</v>
      </c>
      <c r="L67" s="54" t="s">
        <v>269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29" t="s">
        <v>57</v>
      </c>
      <c r="B68" s="29" t="s">
        <v>270</v>
      </c>
      <c r="C68" s="30" t="s">
        <v>271</v>
      </c>
      <c r="D68" s="32" t="s">
        <v>272</v>
      </c>
      <c r="E68" s="33" t="s">
        <v>97</v>
      </c>
      <c r="F68" s="34">
        <v>30.0</v>
      </c>
      <c r="G68" s="33">
        <v>3.0</v>
      </c>
      <c r="H68" s="51">
        <f t="shared" si="1"/>
        <v>90</v>
      </c>
      <c r="I68" s="51">
        <f t="array" ref="I68">IFERROR(INDEX('Tasas de Cambio'!$E$11:$E$15,MATCH(E68,'Tasas de Cambio'!$B$11:$B$15,0)),0)</f>
        <v>3270.75</v>
      </c>
      <c r="J68" s="52">
        <f t="shared" si="2"/>
        <v>294367.5</v>
      </c>
      <c r="K68" s="53">
        <f>IFERROR(J68/'Tasas de Cambio'!$C$5,0)</f>
        <v>98122.5</v>
      </c>
      <c r="L68" s="54" t="s">
        <v>273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29" t="s">
        <v>59</v>
      </c>
      <c r="B69" s="29" t="s">
        <v>274</v>
      </c>
      <c r="C69" s="30" t="s">
        <v>275</v>
      </c>
      <c r="D69" s="32" t="s">
        <v>126</v>
      </c>
      <c r="E69" s="33" t="s">
        <v>12</v>
      </c>
      <c r="F69" s="34">
        <v>30.0</v>
      </c>
      <c r="G69" s="33">
        <v>6.0</v>
      </c>
      <c r="H69" s="51">
        <f t="shared" si="1"/>
        <v>180</v>
      </c>
      <c r="I69" s="51">
        <f t="array" ref="I69">IFERROR(INDEX('Tasas de Cambio'!$E$11:$E$15,MATCH(E69,'Tasas de Cambio'!$B$11:$B$15,0)),0)</f>
        <v>3810.45</v>
      </c>
      <c r="J69" s="52">
        <f t="shared" si="2"/>
        <v>685881.0</v>
      </c>
      <c r="K69" s="53">
        <f>IFERROR(J69/'Tasas de Cambio'!$C$5,0)</f>
        <v>228627.0</v>
      </c>
      <c r="L69" s="54" t="s">
        <v>127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30.0" customHeight="1">
      <c r="A70" s="29" t="s">
        <v>57</v>
      </c>
      <c r="B70" s="29" t="s">
        <v>270</v>
      </c>
      <c r="C70" s="30" t="s">
        <v>277</v>
      </c>
      <c r="D70" s="32" t="s">
        <v>278</v>
      </c>
      <c r="E70" s="33" t="s">
        <v>12</v>
      </c>
      <c r="F70" s="34">
        <v>30.0</v>
      </c>
      <c r="G70" s="33">
        <v>3.0</v>
      </c>
      <c r="H70" s="51">
        <f t="shared" si="1"/>
        <v>90</v>
      </c>
      <c r="I70" s="51">
        <f t="array" ref="I70">IFERROR(INDEX('Tasas de Cambio'!$E$11:$E$15,MATCH(E70,'Tasas de Cambio'!$B$11:$B$15,0)),0)</f>
        <v>3810.45</v>
      </c>
      <c r="J70" s="52">
        <f t="shared" si="2"/>
        <v>342940.5</v>
      </c>
      <c r="K70" s="53">
        <f>IFERROR(J70/'Tasas de Cambio'!$C$5,0)</f>
        <v>114313.5</v>
      </c>
      <c r="L70" s="54" t="s">
        <v>279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0.0" customHeight="1">
      <c r="A71" s="29" t="s">
        <v>11</v>
      </c>
      <c r="B71" s="29" t="s">
        <v>270</v>
      </c>
      <c r="C71" s="30" t="s">
        <v>280</v>
      </c>
      <c r="D71" s="32" t="s">
        <v>281</v>
      </c>
      <c r="E71" s="33" t="s">
        <v>12</v>
      </c>
      <c r="F71" s="34">
        <v>55.0</v>
      </c>
      <c r="G71" s="33">
        <v>3.0</v>
      </c>
      <c r="H71" s="51">
        <f t="shared" si="1"/>
        <v>165</v>
      </c>
      <c r="I71" s="51">
        <f t="array" ref="I71">IFERROR(INDEX('Tasas de Cambio'!$E$11:$E$15,MATCH(E71,'Tasas de Cambio'!$B$11:$B$15,0)),0)</f>
        <v>3810.45</v>
      </c>
      <c r="J71" s="52">
        <f t="shared" si="2"/>
        <v>628724.25</v>
      </c>
      <c r="K71" s="53">
        <f>IFERROR(J71/'Tasas de Cambio'!$C$5,0)</f>
        <v>209574.75</v>
      </c>
      <c r="L71" s="54" t="s">
        <v>282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29" t="s">
        <v>14</v>
      </c>
      <c r="B72" s="29" t="s">
        <v>270</v>
      </c>
      <c r="C72" s="30" t="s">
        <v>280</v>
      </c>
      <c r="D72" s="32" t="s">
        <v>283</v>
      </c>
      <c r="E72" s="33" t="s">
        <v>12</v>
      </c>
      <c r="F72" s="34">
        <v>10.0</v>
      </c>
      <c r="G72" s="33">
        <v>1.0</v>
      </c>
      <c r="H72" s="51">
        <f t="shared" si="1"/>
        <v>10</v>
      </c>
      <c r="I72" s="51">
        <f t="array" ref="I72">IFERROR(INDEX('Tasas de Cambio'!$E$11:$E$15,MATCH(E72,'Tasas de Cambio'!$B$11:$B$15,0)),0)</f>
        <v>3810.45</v>
      </c>
      <c r="J72" s="52">
        <f t="shared" si="2"/>
        <v>38104.5</v>
      </c>
      <c r="K72" s="53">
        <f>IFERROR(J72/'Tasas de Cambio'!$C$5,0)</f>
        <v>12701.5</v>
      </c>
      <c r="L72" s="54" t="s">
        <v>284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29" t="s">
        <v>36</v>
      </c>
      <c r="B73" s="29" t="s">
        <v>285</v>
      </c>
      <c r="C73" s="30" t="s">
        <v>286</v>
      </c>
      <c r="D73" s="32" t="s">
        <v>287</v>
      </c>
      <c r="E73" s="33" t="s">
        <v>12</v>
      </c>
      <c r="F73" s="34">
        <v>130.0</v>
      </c>
      <c r="G73" s="33">
        <v>5.0</v>
      </c>
      <c r="H73" s="51">
        <f t="shared" si="1"/>
        <v>650</v>
      </c>
      <c r="I73" s="51">
        <f t="array" ref="I73">IFERROR(INDEX('Tasas de Cambio'!$E$11:$E$15,MATCH(E73,'Tasas de Cambio'!$B$11:$B$15,0)),0)</f>
        <v>3810.45</v>
      </c>
      <c r="J73" s="52">
        <f t="shared" si="2"/>
        <v>2476792.5</v>
      </c>
      <c r="K73" s="53">
        <f>IFERROR(J73/'Tasas de Cambio'!$C$5,0)</f>
        <v>825597.5</v>
      </c>
      <c r="L73" s="54" t="s">
        <v>288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4.0" customHeight="1">
      <c r="A74" s="29" t="s">
        <v>57</v>
      </c>
      <c r="B74" s="29" t="s">
        <v>270</v>
      </c>
      <c r="C74" s="30" t="s">
        <v>289</v>
      </c>
      <c r="D74" s="32" t="s">
        <v>290</v>
      </c>
      <c r="E74" s="33" t="s">
        <v>97</v>
      </c>
      <c r="F74" s="34">
        <v>23.0</v>
      </c>
      <c r="G74" s="33">
        <v>3.0</v>
      </c>
      <c r="H74" s="51">
        <f t="shared" si="1"/>
        <v>69</v>
      </c>
      <c r="I74" s="51">
        <f t="array" ref="I74">IFERROR(INDEX('Tasas de Cambio'!$E$11:$E$15,MATCH(E74,'Tasas de Cambio'!$B$11:$B$15,0)),0)</f>
        <v>3270.75</v>
      </c>
      <c r="J74" s="52">
        <f t="shared" si="2"/>
        <v>225681.75</v>
      </c>
      <c r="K74" s="53">
        <f>IFERROR(J74/'Tasas de Cambio'!$C$5,0)</f>
        <v>75227.25</v>
      </c>
      <c r="L74" s="54" t="s">
        <v>291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29" t="s">
        <v>59</v>
      </c>
      <c r="B75" s="29" t="s">
        <v>292</v>
      </c>
      <c r="C75" s="30" t="s">
        <v>293</v>
      </c>
      <c r="D75" s="32" t="s">
        <v>126</v>
      </c>
      <c r="E75" s="33" t="s">
        <v>12</v>
      </c>
      <c r="F75" s="34">
        <v>40.0</v>
      </c>
      <c r="G75" s="33">
        <v>9.0</v>
      </c>
      <c r="H75" s="51">
        <f t="shared" si="1"/>
        <v>360</v>
      </c>
      <c r="I75" s="51">
        <f t="array" ref="I75">IFERROR(INDEX('Tasas de Cambio'!$E$11:$E$15,MATCH(E75,'Tasas de Cambio'!$B$11:$B$15,0)),0)</f>
        <v>3810.45</v>
      </c>
      <c r="J75" s="52">
        <f t="shared" si="2"/>
        <v>1371762.0</v>
      </c>
      <c r="K75" s="53">
        <f>IFERROR(J75/'Tasas de Cambio'!$C$5,0)</f>
        <v>457254.0</v>
      </c>
      <c r="L75" s="54" t="s">
        <v>127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29" t="s">
        <v>57</v>
      </c>
      <c r="B76" s="29" t="s">
        <v>270</v>
      </c>
      <c r="C76" s="30" t="s">
        <v>295</v>
      </c>
      <c r="D76" s="32" t="s">
        <v>296</v>
      </c>
      <c r="E76" s="33" t="s">
        <v>12</v>
      </c>
      <c r="F76" s="34">
        <v>80.0</v>
      </c>
      <c r="G76" s="33">
        <v>3.0</v>
      </c>
      <c r="H76" s="51">
        <f t="shared" si="1"/>
        <v>240</v>
      </c>
      <c r="I76" s="51">
        <f t="array" ref="I76">IFERROR(INDEX('Tasas de Cambio'!$E$11:$E$15,MATCH(E76,'Tasas de Cambio'!$B$11:$B$15,0)),0)</f>
        <v>3810.45</v>
      </c>
      <c r="J76" s="52">
        <f t="shared" si="2"/>
        <v>914508.0</v>
      </c>
      <c r="K76" s="53">
        <f>IFERROR(J76/'Tasas de Cambio'!$C$5,0)</f>
        <v>304836.0</v>
      </c>
      <c r="L76" s="54" t="s">
        <v>301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29" t="s">
        <v>57</v>
      </c>
      <c r="B77" s="29" t="s">
        <v>270</v>
      </c>
      <c r="C77" s="30" t="s">
        <v>302</v>
      </c>
      <c r="D77" s="32" t="s">
        <v>303</v>
      </c>
      <c r="E77" s="33" t="s">
        <v>12</v>
      </c>
      <c r="F77" s="34">
        <v>25.0</v>
      </c>
      <c r="G77" s="33">
        <v>3.0</v>
      </c>
      <c r="H77" s="51">
        <f t="shared" si="1"/>
        <v>75</v>
      </c>
      <c r="I77" s="51">
        <f t="array" ref="I77">IFERROR(INDEX('Tasas de Cambio'!$E$11:$E$15,MATCH(E77,'Tasas de Cambio'!$B$11:$B$15,0)),0)</f>
        <v>3810.45</v>
      </c>
      <c r="J77" s="52">
        <f t="shared" si="2"/>
        <v>285783.75</v>
      </c>
      <c r="K77" s="53">
        <f>IFERROR(J77/'Tasas de Cambio'!$C$5,0)</f>
        <v>95261.25</v>
      </c>
      <c r="L77" s="54" t="s">
        <v>304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29" t="s">
        <v>11</v>
      </c>
      <c r="B78" s="29" t="s">
        <v>305</v>
      </c>
      <c r="C78" s="30" t="s">
        <v>369</v>
      </c>
      <c r="D78" s="32" t="s">
        <v>307</v>
      </c>
      <c r="E78" s="33" t="s">
        <v>55</v>
      </c>
      <c r="F78" s="34">
        <v>1886015.0</v>
      </c>
      <c r="G78" s="33">
        <v>3.0</v>
      </c>
      <c r="H78" s="51">
        <f t="shared" si="1"/>
        <v>5658045</v>
      </c>
      <c r="I78" s="51">
        <f t="array" ref="I78">IFERROR(INDEX('Tasas de Cambio'!$E$11:$E$15,MATCH(E78,'Tasas de Cambio'!$B$11:$B$15,0)),0)</f>
        <v>1</v>
      </c>
      <c r="J78" s="52">
        <f t="shared" si="2"/>
        <v>5658045</v>
      </c>
      <c r="K78" s="53">
        <f>IFERROR(J78/'Tasas de Cambio'!$C$5,0)</f>
        <v>1886015</v>
      </c>
      <c r="L78" s="54" t="s">
        <v>308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29" t="s">
        <v>14</v>
      </c>
      <c r="B79" s="29" t="s">
        <v>270</v>
      </c>
      <c r="C79" s="30" t="s">
        <v>369</v>
      </c>
      <c r="D79" s="32" t="s">
        <v>309</v>
      </c>
      <c r="E79" s="33" t="s">
        <v>12</v>
      </c>
      <c r="F79" s="34">
        <v>75.0</v>
      </c>
      <c r="G79" s="33">
        <v>1.0</v>
      </c>
      <c r="H79" s="51">
        <f t="shared" si="1"/>
        <v>75</v>
      </c>
      <c r="I79" s="51">
        <f t="array" ref="I79">IFERROR(INDEX('Tasas de Cambio'!$E$11:$E$15,MATCH(E79,'Tasas de Cambio'!$B$11:$B$15,0)),0)</f>
        <v>3810.45</v>
      </c>
      <c r="J79" s="52">
        <f t="shared" si="2"/>
        <v>285783.75</v>
      </c>
      <c r="K79" s="53">
        <f>IFERROR(J79/'Tasas de Cambio'!$C$5,0)</f>
        <v>95261.25</v>
      </c>
      <c r="L79" s="54" t="s">
        <v>310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29" t="s">
        <v>57</v>
      </c>
      <c r="B80" s="29" t="s">
        <v>171</v>
      </c>
      <c r="C80" s="30" t="s">
        <v>173</v>
      </c>
      <c r="D80" s="32" t="s">
        <v>383</v>
      </c>
      <c r="E80" s="33" t="s">
        <v>97</v>
      </c>
      <c r="F80" s="34">
        <v>10.0</v>
      </c>
      <c r="G80" s="33">
        <v>3.0</v>
      </c>
      <c r="H80" s="51">
        <f>IFERROR(F80*G80,0)</f>
        <v>30.0</v>
      </c>
      <c r="I80" s="51">
        <f t="array" ref="I80">IFERROR(INDEX('Tasas de Cambio'!$E$11:$E$15,MATCH(E80,'Tasas de Cambio'!$B$11:$B$15,0)),0)</f>
        <v>3270.75</v>
      </c>
      <c r="J80" s="52">
        <f>IFERROR(H80*I80,0)</f>
        <v>98122.5</v>
      </c>
      <c r="K80" s="53">
        <f>IFERROR(J80/'Tasas de Cambio'!$C$5,0)</f>
        <v>32707.5</v>
      </c>
      <c r="L80" s="54" t="s">
        <v>384</v>
      </c>
      <c r="M80" s="1" t="s">
        <v>374</v>
      </c>
    </row>
    <row r="81" ht="15.75" customHeight="1">
      <c r="A81" s="29"/>
      <c r="B81" s="29"/>
      <c r="C81" s="30"/>
      <c r="D81" s="66" t="s">
        <v>177</v>
      </c>
      <c r="E81" s="33"/>
      <c r="F81" s="34"/>
      <c r="G81" s="33"/>
      <c r="H81" s="51"/>
      <c r="I81" s="51"/>
      <c r="J81" s="67">
        <f t="shared" ref="J81:K81" si="3">SUM(J5:J79)</f>
        <v>61564255.75</v>
      </c>
      <c r="K81" s="67">
        <f t="shared" si="3"/>
        <v>20521418.58</v>
      </c>
      <c r="L81" s="54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29" t="s">
        <v>64</v>
      </c>
      <c r="B82" s="29" t="s">
        <v>191</v>
      </c>
      <c r="C82" s="30" t="s">
        <v>192</v>
      </c>
      <c r="D82" s="32" t="s">
        <v>386</v>
      </c>
      <c r="E82" s="33" t="s">
        <v>55</v>
      </c>
      <c r="F82" s="34">
        <v>0.0</v>
      </c>
      <c r="G82" s="33">
        <v>1.0</v>
      </c>
      <c r="H82" s="51">
        <f>IFERROR(F82*G82,0)</f>
        <v>0.0</v>
      </c>
      <c r="I82" s="51">
        <f t="array" ref="I82">IFERROR(INDEX('Tasas de Cambio'!$E$11:$E$15,MATCH(E82,'Tasas de Cambio'!$B$11:$B$15,0)),0)</f>
        <v>1.0</v>
      </c>
      <c r="J82" s="52">
        <f>IFERROR(H82*I82,0)</f>
        <v>0.0</v>
      </c>
      <c r="K82" s="53">
        <f>IFERROR(J82/'Tasas de Cambio'!$C$5,0)</f>
        <v>0.0</v>
      </c>
      <c r="L82" s="54" t="s">
        <v>387</v>
      </c>
      <c r="M82" s="1" t="s">
        <v>374</v>
      </c>
    </row>
    <row r="83" ht="15.75" customHeight="1">
      <c r="A83" s="29" t="s">
        <v>64</v>
      </c>
      <c r="B83" s="29" t="s">
        <v>191</v>
      </c>
      <c r="C83" s="30" t="s">
        <v>205</v>
      </c>
      <c r="D83" s="32" t="s">
        <v>386</v>
      </c>
      <c r="E83" s="33" t="s">
        <v>55</v>
      </c>
      <c r="F83" s="34">
        <v>0.0</v>
      </c>
      <c r="G83" s="33">
        <v>1.0</v>
      </c>
      <c r="H83" s="51">
        <f>IFERROR(F83*G83,0)</f>
        <v>0.0</v>
      </c>
      <c r="I83" s="51">
        <f t="array" ref="I83">IFERROR(INDEX('Tasas de Cambio'!$E$11:$E$15,MATCH(E83,'Tasas de Cambio'!$B$11:$B$15,0)),0)</f>
        <v>1.0</v>
      </c>
      <c r="J83" s="52">
        <f>IFERROR(H83*I83,0)</f>
        <v>0.0</v>
      </c>
      <c r="K83" s="53">
        <f>IFERROR(J83/'Tasas de Cambio'!$C$5,0)</f>
        <v>0.0</v>
      </c>
      <c r="L83" s="54" t="s">
        <v>387</v>
      </c>
      <c r="M83" s="1" t="s">
        <v>374</v>
      </c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34 E36:E40 E42:E57 E59:E62 E64:E66 E68:E124">
      <formula1>$P$2:$P$6</formula1>
    </dataValidation>
    <dataValidation type="list" allowBlank="1" sqref="A5:A124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162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SUMIF('Cotización'!$A:$A,B7,'Cotización'!$J:$J)</f>
        <v>16266882</v>
      </c>
      <c r="D7" s="57">
        <f>IFERROR(C7/'Tasas de Cambio'!$E$14,0)</f>
        <v>5054.573759</v>
      </c>
      <c r="E7" s="58">
        <f t="shared" ref="E7:E14" si="1">IFERROR(C7/$C$15,0)</f>
        <v>0.2642260806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SUMIF('Cotización'!$A:$A,B8,'Cotización'!$J:$J)</f>
        <v>2467285.8</v>
      </c>
      <c r="D8" s="57">
        <f>IFERROR(C8/'Tasas de Cambio'!$E$14,0)</f>
        <v>766.6544861</v>
      </c>
      <c r="E8" s="58">
        <f t="shared" si="1"/>
        <v>0.04007659591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SUMIF('Cotización'!$A:$A,B9,'Cotización'!$J:$J)</f>
        <v>12743220</v>
      </c>
      <c r="D9" s="57">
        <f>IFERROR(C9/'Tasas de Cambio'!$E$14,0)</f>
        <v>3959.673736</v>
      </c>
      <c r="E9" s="58">
        <f t="shared" si="1"/>
        <v>0.2069905637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SUMIF('Cotización'!$A:$A,B10,'Cotización'!$J:$J)</f>
        <v>6468682.5</v>
      </c>
      <c r="D10" s="57">
        <f>IFERROR(C10/'Tasas de Cambio'!$E$14,0)</f>
        <v>2010</v>
      </c>
      <c r="E10" s="58">
        <f t="shared" si="1"/>
        <v>0.1050720491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SUMIF('Cotización'!$A:$A,B11,'Cotización'!$J:$J)</f>
        <v>12080007.45</v>
      </c>
      <c r="D11" s="57">
        <f>IFERROR(C11/'Tasas de Cambio'!$E$14,0)</f>
        <v>3753.595106</v>
      </c>
      <c r="E11" s="58">
        <f t="shared" si="1"/>
        <v>0.1962178752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SUMIF('Cotización'!$A:$A,B12,'Cotización'!$J:$J)</f>
        <v>8377740</v>
      </c>
      <c r="D12" s="57">
        <f>IFERROR(C12/'Tasas de Cambio'!$E$14,0)</f>
        <v>2603.19739</v>
      </c>
      <c r="E12" s="58">
        <f t="shared" si="1"/>
        <v>0.1360812357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SUMIF('Cotización'!$A:$A,B13,'Cotización'!$J:$J)</f>
        <v>760054</v>
      </c>
      <c r="D13" s="57">
        <f>IFERROR(C13/'Tasas de Cambio'!$E$14,0)</f>
        <v>236.1699682</v>
      </c>
      <c r="E13" s="58">
        <f t="shared" si="1"/>
        <v>0.01234570273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SUMIF('Cotización'!$A:$A,B14,'Cotización'!$J:$J)</f>
        <v>2400384</v>
      </c>
      <c r="D14" s="57">
        <f>IFERROR(C14/'Tasas de Cambio'!$E$14,0)</f>
        <v>745.8662316</v>
      </c>
      <c r="E14" s="58">
        <f t="shared" si="1"/>
        <v>0.03898989715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61564255.75</v>
      </c>
      <c r="D15" s="60">
        <f t="shared" si="2"/>
        <v>19129.73068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20521418.58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6376.576892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IFERROR(C19/30,0)</f>
        <v>684047.2861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276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106</v>
      </c>
      <c r="C12" s="30">
        <v>46507.0</v>
      </c>
      <c r="D12" s="32" t="s">
        <v>108</v>
      </c>
      <c r="E12" s="33" t="s">
        <v>55</v>
      </c>
      <c r="F12" s="34">
        <v>1557040.0</v>
      </c>
      <c r="G12" s="33">
        <v>3.0</v>
      </c>
      <c r="H12" s="51">
        <f t="shared" si="1"/>
        <v>4671120</v>
      </c>
      <c r="I12" s="51">
        <f t="array" ref="I12">IFERROR(INDEX('Tasas de Cambio'!$E$11:$E$15,MATCH(E12,'Tasas de Cambio'!$B$11:$B$15,0)),0)</f>
        <v>1</v>
      </c>
      <c r="J12" s="52">
        <f t="shared" si="2"/>
        <v>4671120</v>
      </c>
      <c r="K12" s="53">
        <f>IFERROR(J12/'Tasas de Cambio'!$C$5,0)</f>
        <v>1557040</v>
      </c>
      <c r="L12" s="54" t="s">
        <v>294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110</v>
      </c>
      <c r="C13" s="30">
        <v>46508.0</v>
      </c>
      <c r="D13" s="32" t="s">
        <v>111</v>
      </c>
      <c r="E13" s="33" t="s">
        <v>17</v>
      </c>
      <c r="F13" s="34">
        <v>45.0</v>
      </c>
      <c r="G13" s="33">
        <v>1.0</v>
      </c>
      <c r="H13" s="51">
        <f t="shared" si="1"/>
        <v>45</v>
      </c>
      <c r="I13" s="51">
        <f t="array" ref="I13">IFERROR(INDEX('Tasas de Cambio'!$E$11:$E$15,MATCH(E13,'Tasas de Cambio'!$B$11:$B$15,0)),0)</f>
        <v>4066.65</v>
      </c>
      <c r="J13" s="52">
        <f t="shared" si="2"/>
        <v>182999.25</v>
      </c>
      <c r="K13" s="53">
        <f>IFERROR(J13/'Tasas de Cambio'!$C$5,0)</f>
        <v>60999.75</v>
      </c>
      <c r="L13" s="54" t="s">
        <v>297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113</v>
      </c>
      <c r="C14" s="30" t="s">
        <v>298</v>
      </c>
      <c r="D14" s="32" t="s">
        <v>398</v>
      </c>
      <c r="E14" s="33" t="s">
        <v>17</v>
      </c>
      <c r="F14" s="34">
        <v>900.0</v>
      </c>
      <c r="G14" s="33">
        <v>1.0</v>
      </c>
      <c r="H14" s="51">
        <f>IFERROR(F14*G14,0)</f>
        <v>900.0</v>
      </c>
      <c r="I14" s="51">
        <f t="array" ref="I14">IFERROR(INDEX('Tasas de Cambio'!$E$11:$E$15,MATCH(E14,'Tasas de Cambio'!$B$11:$B$15,0)),0)</f>
        <v>4066.65</v>
      </c>
      <c r="J14" s="52">
        <f>IFERROR(H14*I14,0)</f>
        <v>3659985.0</v>
      </c>
      <c r="K14" s="53">
        <f>IFERROR(J14/'Tasas de Cambio'!$C$5,0)</f>
        <v>1219995.0</v>
      </c>
      <c r="L14" s="54" t="s">
        <v>123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124</v>
      </c>
      <c r="C16" s="30" t="s">
        <v>125</v>
      </c>
      <c r="D16" s="32" t="s">
        <v>128</v>
      </c>
      <c r="E16" s="33" t="s">
        <v>97</v>
      </c>
      <c r="F16" s="34">
        <v>90.0</v>
      </c>
      <c r="G16" s="33">
        <v>3.0</v>
      </c>
      <c r="H16" s="51">
        <f t="shared" si="1"/>
        <v>270</v>
      </c>
      <c r="I16" s="51">
        <f t="array" ref="I16">IFERROR(INDEX('Tasas de Cambio'!$E$11:$E$15,MATCH(E16,'Tasas de Cambio'!$B$11:$B$15,0)),0)</f>
        <v>3270.75</v>
      </c>
      <c r="J16" s="52">
        <f t="shared" si="2"/>
        <v>883102.5</v>
      </c>
      <c r="K16" s="53">
        <f>IFERROR(J16/'Tasas de Cambio'!$C$5,0)</f>
        <v>294367.5</v>
      </c>
      <c r="L16" s="54" t="s">
        <v>129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124</v>
      </c>
      <c r="C17" s="30">
        <v>46509.0</v>
      </c>
      <c r="D17" s="32" t="s">
        <v>131</v>
      </c>
      <c r="E17" s="33" t="s">
        <v>97</v>
      </c>
      <c r="F17" s="34">
        <v>350.0</v>
      </c>
      <c r="G17" s="33">
        <v>3.0</v>
      </c>
      <c r="H17" s="51">
        <f t="shared" si="1"/>
        <v>1050</v>
      </c>
      <c r="I17" s="51">
        <f t="array" ref="I17">IFERROR(INDEX('Tasas de Cambio'!$E$11:$E$15,MATCH(E17,'Tasas de Cambio'!$B$11:$B$15,0)),0)</f>
        <v>3270.75</v>
      </c>
      <c r="J17" s="52">
        <f t="shared" si="2"/>
        <v>3434287.5</v>
      </c>
      <c r="K17" s="53">
        <f>IFERROR(J17/'Tasas de Cambio'!$C$5,0)</f>
        <v>1144762.5</v>
      </c>
      <c r="L17" s="54" t="s">
        <v>132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124</v>
      </c>
      <c r="C18" s="30">
        <v>46509.0</v>
      </c>
      <c r="D18" s="32" t="s">
        <v>126</v>
      </c>
      <c r="E18" s="33" t="s">
        <v>17</v>
      </c>
      <c r="F18" s="34">
        <v>55.0</v>
      </c>
      <c r="G18" s="33">
        <v>3.0</v>
      </c>
      <c r="H18" s="51">
        <f t="shared" si="1"/>
        <v>165</v>
      </c>
      <c r="I18" s="51">
        <f t="array" ref="I18">IFERROR(INDEX('Tasas de Cambio'!$E$11:$E$15,MATCH(E18,'Tasas de Cambio'!$B$11:$B$15,0)),0)</f>
        <v>4066.65</v>
      </c>
      <c r="J18" s="52">
        <f t="shared" si="2"/>
        <v>670997.25</v>
      </c>
      <c r="K18" s="53">
        <f>IFERROR(J18/'Tasas de Cambio'!$C$5,0)</f>
        <v>223665.75</v>
      </c>
      <c r="L18" s="54" t="s">
        <v>311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124</v>
      </c>
      <c r="C19" s="30">
        <v>46510.0</v>
      </c>
      <c r="D19" s="32" t="s">
        <v>312</v>
      </c>
      <c r="E19" s="33" t="s">
        <v>97</v>
      </c>
      <c r="F19" s="34">
        <v>150.0</v>
      </c>
      <c r="G19" s="33">
        <v>3.0</v>
      </c>
      <c r="H19" s="51">
        <f t="shared" si="1"/>
        <v>450</v>
      </c>
      <c r="I19" s="51">
        <f t="array" ref="I19">IFERROR(INDEX('Tasas de Cambio'!$E$11:$E$15,MATCH(E19,'Tasas de Cambio'!$B$11:$B$15,0)),0)</f>
        <v>3270.75</v>
      </c>
      <c r="J19" s="52">
        <f t="shared" si="2"/>
        <v>1471837.5</v>
      </c>
      <c r="K19" s="53">
        <f>IFERROR(J19/'Tasas de Cambio'!$C$5,0)</f>
        <v>490612.5</v>
      </c>
      <c r="L19" s="54" t="s">
        <v>313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124</v>
      </c>
      <c r="C20" s="30">
        <v>46510.0</v>
      </c>
      <c r="D20" s="32" t="s">
        <v>126</v>
      </c>
      <c r="E20" s="33" t="s">
        <v>17</v>
      </c>
      <c r="F20" s="34">
        <v>55.0</v>
      </c>
      <c r="G20" s="33">
        <v>3.0</v>
      </c>
      <c r="H20" s="51">
        <f t="shared" si="1"/>
        <v>165</v>
      </c>
      <c r="I20" s="51">
        <f t="array" ref="I20">IFERROR(INDEX('Tasas de Cambio'!$E$11:$E$15,MATCH(E20,'Tasas de Cambio'!$B$11:$B$15,0)),0)</f>
        <v>4066.65</v>
      </c>
      <c r="J20" s="52">
        <f t="shared" si="2"/>
        <v>670997.25</v>
      </c>
      <c r="K20" s="53">
        <f>IFERROR(J20/'Tasas de Cambio'!$C$5,0)</f>
        <v>223665.75</v>
      </c>
      <c r="L20" s="54" t="s">
        <v>311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124</v>
      </c>
      <c r="C21" s="30">
        <v>46511.0</v>
      </c>
      <c r="D21" s="32" t="s">
        <v>314</v>
      </c>
      <c r="E21" s="33" t="s">
        <v>97</v>
      </c>
      <c r="F21" s="34">
        <v>138.0</v>
      </c>
      <c r="G21" s="33">
        <v>3.0</v>
      </c>
      <c r="H21" s="51">
        <f t="shared" si="1"/>
        <v>414</v>
      </c>
      <c r="I21" s="51">
        <f t="array" ref="I21">IFERROR(INDEX('Tasas de Cambio'!$E$11:$E$15,MATCH(E21,'Tasas de Cambio'!$B$11:$B$15,0)),0)</f>
        <v>3270.75</v>
      </c>
      <c r="J21" s="52">
        <f t="shared" si="2"/>
        <v>1354090.5</v>
      </c>
      <c r="K21" s="53">
        <f>IFERROR(J21/'Tasas de Cambio'!$C$5,0)</f>
        <v>451363.5</v>
      </c>
      <c r="L21" s="54" t="s">
        <v>315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124</v>
      </c>
      <c r="C22" s="30">
        <v>46511.0</v>
      </c>
      <c r="D22" s="32" t="s">
        <v>126</v>
      </c>
      <c r="E22" s="33" t="s">
        <v>17</v>
      </c>
      <c r="F22" s="34">
        <v>55.0</v>
      </c>
      <c r="G22" s="33">
        <v>3.0</v>
      </c>
      <c r="H22" s="51">
        <f t="shared" si="1"/>
        <v>165</v>
      </c>
      <c r="I22" s="51">
        <f t="array" ref="I22">IFERROR(INDEX('Tasas de Cambio'!$E$11:$E$15,MATCH(E22,'Tasas de Cambio'!$B$11:$B$15,0)),0)</f>
        <v>4066.65</v>
      </c>
      <c r="J22" s="52">
        <f t="shared" si="2"/>
        <v>670997.25</v>
      </c>
      <c r="K22" s="53">
        <f>IFERROR(J22/'Tasas de Cambio'!$C$5,0)</f>
        <v>223665.75</v>
      </c>
      <c r="L22" s="54" t="s">
        <v>311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57</v>
      </c>
      <c r="B23" s="29" t="s">
        <v>124</v>
      </c>
      <c r="C23" s="30">
        <v>46512.0</v>
      </c>
      <c r="D23" s="32" t="s">
        <v>316</v>
      </c>
      <c r="E23" s="33" t="s">
        <v>97</v>
      </c>
      <c r="F23" s="34">
        <v>70.0</v>
      </c>
      <c r="G23" s="33">
        <v>3.0</v>
      </c>
      <c r="H23" s="51">
        <f t="shared" si="1"/>
        <v>210</v>
      </c>
      <c r="I23" s="51">
        <f t="array" ref="I23">IFERROR(INDEX('Tasas de Cambio'!$E$11:$E$15,MATCH(E23,'Tasas de Cambio'!$B$11:$B$15,0)),0)</f>
        <v>3270.75</v>
      </c>
      <c r="J23" s="52">
        <f t="shared" si="2"/>
        <v>686857.5</v>
      </c>
      <c r="K23" s="53">
        <f>IFERROR(J23/'Tasas de Cambio'!$C$5,0)</f>
        <v>228952.5</v>
      </c>
      <c r="L23" s="54" t="s">
        <v>317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59</v>
      </c>
      <c r="B24" s="29" t="s">
        <v>124</v>
      </c>
      <c r="C24" s="30">
        <v>46512.0</v>
      </c>
      <c r="D24" s="32" t="s">
        <v>126</v>
      </c>
      <c r="E24" s="33" t="s">
        <v>17</v>
      </c>
      <c r="F24" s="34">
        <v>55.0</v>
      </c>
      <c r="G24" s="33">
        <v>3.0</v>
      </c>
      <c r="H24" s="51">
        <f t="shared" si="1"/>
        <v>165</v>
      </c>
      <c r="I24" s="51">
        <f t="array" ref="I24">IFERROR(INDEX('Tasas de Cambio'!$E$11:$E$15,MATCH(E24,'Tasas de Cambio'!$B$11:$B$15,0)),0)</f>
        <v>4066.65</v>
      </c>
      <c r="J24" s="52">
        <f t="shared" si="2"/>
        <v>670997.25</v>
      </c>
      <c r="K24" s="53">
        <f>IFERROR(J24/'Tasas de Cambio'!$C$5,0)</f>
        <v>223665.75</v>
      </c>
      <c r="L24" s="54" t="s">
        <v>311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30.0" customHeight="1">
      <c r="A25" s="29" t="s">
        <v>36</v>
      </c>
      <c r="B25" s="29" t="s">
        <v>164</v>
      </c>
      <c r="C25" s="30" t="s">
        <v>165</v>
      </c>
      <c r="D25" s="32" t="s">
        <v>379</v>
      </c>
      <c r="E25" s="33" t="s">
        <v>55</v>
      </c>
      <c r="F25" s="34">
        <v>1900000.0</v>
      </c>
      <c r="G25" s="33">
        <v>1.0</v>
      </c>
      <c r="H25" s="51">
        <f>IFERROR(F25*G25,0)</f>
        <v>1900000.0</v>
      </c>
      <c r="I25" s="51">
        <f t="array" ref="I25">IFERROR(INDEX('Tasas de Cambio'!$E$11:$E$15,MATCH(E25,'Tasas de Cambio'!$B$11:$B$15,0)),0)</f>
        <v>1.0</v>
      </c>
      <c r="J25" s="52">
        <f>IFERROR(H25*I25,0)</f>
        <v>1900000.0</v>
      </c>
      <c r="K25" s="53">
        <f>IFERROR(J25/'Tasas de Cambio'!$C$5,0)</f>
        <v>633333.3333333334</v>
      </c>
      <c r="L25" s="54" t="s">
        <v>380</v>
      </c>
      <c r="M25" s="1" t="s">
        <v>374</v>
      </c>
    </row>
    <row r="26" ht="30.0" customHeight="1">
      <c r="A26" s="29" t="s">
        <v>11</v>
      </c>
      <c r="B26" s="29" t="s">
        <v>319</v>
      </c>
      <c r="C26" s="30">
        <v>46513.0</v>
      </c>
      <c r="D26" s="32" t="s">
        <v>320</v>
      </c>
      <c r="E26" s="33" t="s">
        <v>17</v>
      </c>
      <c r="F26" s="34">
        <v>271.0</v>
      </c>
      <c r="G26" s="33">
        <v>3.0</v>
      </c>
      <c r="H26" s="51">
        <f t="shared" si="1"/>
        <v>813</v>
      </c>
      <c r="I26" s="51">
        <f t="array" ref="I26">IFERROR(INDEX('Tasas de Cambio'!$E$11:$E$15,MATCH(E26,'Tasas de Cambio'!$B$11:$B$15,0)),0)</f>
        <v>4066.65</v>
      </c>
      <c r="J26" s="52">
        <f t="shared" si="2"/>
        <v>3306186.45</v>
      </c>
      <c r="K26" s="53">
        <f>IFERROR(J26/'Tasas de Cambio'!$C$5,0)</f>
        <v>1102062.1500000001</v>
      </c>
      <c r="L26" s="54" t="s">
        <v>321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110</v>
      </c>
      <c r="C27" s="30">
        <v>46513.0</v>
      </c>
      <c r="D27" s="32" t="s">
        <v>322</v>
      </c>
      <c r="E27" s="33" t="s">
        <v>17</v>
      </c>
      <c r="F27" s="34">
        <v>45.0</v>
      </c>
      <c r="G27" s="33">
        <v>1.0</v>
      </c>
      <c r="H27" s="51">
        <f t="shared" si="1"/>
        <v>45</v>
      </c>
      <c r="I27" s="51">
        <f t="array" ref="I27">IFERROR(INDEX('Tasas de Cambio'!$E$11:$E$15,MATCH(E27,'Tasas de Cambio'!$B$11:$B$15,0)),0)</f>
        <v>4066.65</v>
      </c>
      <c r="J27" s="52">
        <f t="shared" si="2"/>
        <v>182999.25</v>
      </c>
      <c r="K27" s="53">
        <f>IFERROR(J27/'Tasas de Cambio'!$C$5,0)</f>
        <v>60999.75</v>
      </c>
      <c r="L27" s="54" t="s">
        <v>297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29" t="s">
        <v>14</v>
      </c>
      <c r="B28" s="29" t="s">
        <v>159</v>
      </c>
      <c r="C28" s="30" t="s">
        <v>409</v>
      </c>
      <c r="D28" s="32" t="s">
        <v>160</v>
      </c>
      <c r="E28" s="33" t="s">
        <v>12</v>
      </c>
      <c r="F28" s="34">
        <v>40.0</v>
      </c>
      <c r="G28" s="33">
        <v>1.0</v>
      </c>
      <c r="H28" s="51">
        <f>IFERROR(F28*G28,0)</f>
        <v>40.0</v>
      </c>
      <c r="I28" s="51">
        <f t="array" ref="I28">IFERROR(INDEX('Tasas de Cambio'!$E$11:$E$15,MATCH(E28,'Tasas de Cambio'!$B$11:$B$15,0)),0)</f>
        <v>3810.45</v>
      </c>
      <c r="J28" s="52">
        <f>IFERROR(H28*I28,0)</f>
        <v>152418.0</v>
      </c>
      <c r="K28" s="53">
        <f>IFERROR(J28/'Tasas de Cambio'!$C$5,0)</f>
        <v>50806.0</v>
      </c>
      <c r="L28" s="54" t="s">
        <v>123</v>
      </c>
      <c r="M28" s="1" t="s">
        <v>374</v>
      </c>
    </row>
    <row r="29" ht="15.75" customHeight="1">
      <c r="A29" s="29" t="s">
        <v>59</v>
      </c>
      <c r="B29" s="29" t="s">
        <v>171</v>
      </c>
      <c r="C29" s="30">
        <v>46513.0</v>
      </c>
      <c r="D29" s="32" t="s">
        <v>172</v>
      </c>
      <c r="E29" s="33" t="s">
        <v>12</v>
      </c>
      <c r="F29" s="34">
        <v>15.0</v>
      </c>
      <c r="G29" s="33">
        <v>3.0</v>
      </c>
      <c r="H29" s="51">
        <f t="shared" si="1"/>
        <v>45</v>
      </c>
      <c r="I29" s="51">
        <f t="array" ref="I29">IFERROR(INDEX('Tasas de Cambio'!$E$11:$E$15,MATCH(E29,'Tasas de Cambio'!$B$11:$B$15,0)),0)</f>
        <v>3810.45</v>
      </c>
      <c r="J29" s="52">
        <f t="shared" si="2"/>
        <v>171470.25</v>
      </c>
      <c r="K29" s="53">
        <f>IFERROR(J29/'Tasas de Cambio'!$C$5,0)</f>
        <v>57156.75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0" customHeight="1">
      <c r="A30" s="29" t="s">
        <v>11</v>
      </c>
      <c r="B30" s="29" t="s">
        <v>209</v>
      </c>
      <c r="C30" s="30" t="s">
        <v>210</v>
      </c>
      <c r="D30" s="32" t="s">
        <v>406</v>
      </c>
      <c r="E30" s="33" t="s">
        <v>12</v>
      </c>
      <c r="F30" s="34">
        <v>25.0</v>
      </c>
      <c r="G30" s="33">
        <v>3.0</v>
      </c>
      <c r="H30" s="51">
        <f>IFERROR(F30*G30,0)</f>
        <v>75.0</v>
      </c>
      <c r="I30" s="51">
        <f t="array" ref="I30">IFERROR(INDEX('Tasas de Cambio'!$E$11:$E$15,MATCH(E30,'Tasas de Cambio'!$B$11:$B$15,0)),0)</f>
        <v>3810.45</v>
      </c>
      <c r="J30" s="52">
        <f>IFERROR(H30*I30,0)</f>
        <v>285783.75</v>
      </c>
      <c r="K30" s="53">
        <f>IFERROR(J30/'Tasas de Cambio'!$C$5,0)</f>
        <v>95261.25</v>
      </c>
      <c r="L30" s="54" t="s">
        <v>408</v>
      </c>
      <c r="M30" s="1" t="s">
        <v>374</v>
      </c>
    </row>
    <row r="31" ht="30.0" customHeight="1">
      <c r="A31" s="29" t="s">
        <v>59</v>
      </c>
      <c r="B31" s="29" t="s">
        <v>171</v>
      </c>
      <c r="C31" s="30">
        <v>46514.0</v>
      </c>
      <c r="D31" s="32" t="s">
        <v>176</v>
      </c>
      <c r="E31" s="33" t="s">
        <v>12</v>
      </c>
      <c r="F31" s="34">
        <v>30.0</v>
      </c>
      <c r="G31" s="33">
        <v>3.0</v>
      </c>
      <c r="H31" s="51">
        <f t="shared" si="1"/>
        <v>90</v>
      </c>
      <c r="I31" s="51">
        <f t="array" ref="I31">IFERROR(INDEX('Tasas de Cambio'!$E$11:$E$15,MATCH(E31,'Tasas de Cambio'!$B$11:$B$15,0)),0)</f>
        <v>3810.45</v>
      </c>
      <c r="J31" s="52">
        <f t="shared" si="2"/>
        <v>342940.5</v>
      </c>
      <c r="K31" s="53">
        <f>IFERROR(J31/'Tasas de Cambio'!$C$5,0)</f>
        <v>114313.5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0" customHeight="1">
      <c r="A32" s="29" t="s">
        <v>14</v>
      </c>
      <c r="B32" s="29" t="s">
        <v>171</v>
      </c>
      <c r="C32" s="30" t="s">
        <v>410</v>
      </c>
      <c r="D32" s="32" t="s">
        <v>174</v>
      </c>
      <c r="E32" s="33" t="s">
        <v>12</v>
      </c>
      <c r="F32" s="34">
        <v>12.0</v>
      </c>
      <c r="G32" s="33">
        <v>3.0</v>
      </c>
      <c r="H32" s="51">
        <f>IFERROR(F32*G32,0)</f>
        <v>36.0</v>
      </c>
      <c r="I32" s="51">
        <f t="array" ref="I32">IFERROR(INDEX('Tasas de Cambio'!$E$11:$E$15,MATCH(E32,'Tasas de Cambio'!$B$11:$B$15,0)),0)</f>
        <v>3810.45</v>
      </c>
      <c r="J32" s="52">
        <f>IFERROR(H32*I32,0)</f>
        <v>137176.19999999998</v>
      </c>
      <c r="K32" s="53">
        <f>IFERROR(J32/'Tasas de Cambio'!$C$5,0)</f>
        <v>45725.399999999994</v>
      </c>
      <c r="L32" s="54" t="s">
        <v>123</v>
      </c>
      <c r="M32" s="1" t="s">
        <v>374</v>
      </c>
    </row>
    <row r="33" ht="15.75" customHeight="1">
      <c r="A33" s="29" t="s">
        <v>54</v>
      </c>
      <c r="B33" s="29" t="s">
        <v>182</v>
      </c>
      <c r="C33" s="30" t="s">
        <v>183</v>
      </c>
      <c r="D33" s="32" t="s">
        <v>184</v>
      </c>
      <c r="E33" s="33" t="s">
        <v>97</v>
      </c>
      <c r="F33" s="34">
        <v>670.0</v>
      </c>
      <c r="G33" s="33">
        <v>3.0</v>
      </c>
      <c r="H33" s="51">
        <f>IFERROR(F33*G33,0)</f>
        <v>2010.0</v>
      </c>
      <c r="I33" s="51">
        <f t="array" ref="I33">IFERROR(INDEX('Tasas de Cambio'!$E$11:$E$15,MATCH(E33,'Tasas de Cambio'!$B$11:$B$15,0)),0)</f>
        <v>3270.75</v>
      </c>
      <c r="J33" s="52">
        <f>IFERROR(H33*I33,0)</f>
        <v>6574207.5</v>
      </c>
      <c r="K33" s="53">
        <f>IFERROR(J33/'Tasas de Cambio'!$C$5,0)</f>
        <v>2191402.5</v>
      </c>
      <c r="L33" s="54" t="s">
        <v>385</v>
      </c>
      <c r="M33" s="1" t="s">
        <v>374</v>
      </c>
    </row>
    <row r="34" ht="18.0" customHeight="1">
      <c r="A34" s="29" t="s">
        <v>14</v>
      </c>
      <c r="B34" s="29" t="s">
        <v>159</v>
      </c>
      <c r="C34" s="30">
        <v>46515.0</v>
      </c>
      <c r="D34" s="32" t="s">
        <v>180</v>
      </c>
      <c r="E34" s="33" t="s">
        <v>12</v>
      </c>
      <c r="F34" s="34">
        <v>30.0</v>
      </c>
      <c r="G34" s="33">
        <v>1.0</v>
      </c>
      <c r="H34" s="51">
        <f t="shared" si="1"/>
        <v>30</v>
      </c>
      <c r="I34" s="51">
        <f t="array" ref="I34">IFERROR(INDEX('Tasas de Cambio'!$E$11:$E$15,MATCH(E34,'Tasas de Cambio'!$B$11:$B$15,0)),0)</f>
        <v>3810.45</v>
      </c>
      <c r="J34" s="52">
        <f t="shared" si="2"/>
        <v>114313.5</v>
      </c>
      <c r="K34" s="53">
        <f>IFERROR(J34/'Tasas de Cambio'!$C$5,0)</f>
        <v>38104.5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57</v>
      </c>
      <c r="B35" s="29" t="s">
        <v>171</v>
      </c>
      <c r="C35" s="30">
        <v>46515.0</v>
      </c>
      <c r="D35" s="32" t="s">
        <v>326</v>
      </c>
      <c r="E35" s="33" t="s">
        <v>12</v>
      </c>
      <c r="F35" s="34">
        <v>0.0</v>
      </c>
      <c r="G35" s="33">
        <v>3.0</v>
      </c>
      <c r="H35" s="51">
        <f t="shared" si="1"/>
        <v>0</v>
      </c>
      <c r="I35" s="51">
        <f t="array" ref="I35">IFERROR(INDEX('Tasas de Cambio'!$E$11:$E$15,MATCH(E35,'Tasas de Cambio'!$B$11:$B$15,0)),0)</f>
        <v>3810.45</v>
      </c>
      <c r="J35" s="52">
        <f t="shared" si="2"/>
        <v>0.0</v>
      </c>
      <c r="K35" s="53">
        <f>IFERROR(J35/'Tasas de Cambio'!$C$5,0)</f>
        <v>0.0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59</v>
      </c>
      <c r="B36" s="29" t="s">
        <v>171</v>
      </c>
      <c r="C36" s="30">
        <v>46515.0</v>
      </c>
      <c r="D36" s="32" t="s">
        <v>189</v>
      </c>
      <c r="E36" s="33" t="s">
        <v>12</v>
      </c>
      <c r="F36" s="34">
        <v>10.0</v>
      </c>
      <c r="G36" s="33">
        <v>3.0</v>
      </c>
      <c r="H36" s="51">
        <f t="shared" si="1"/>
        <v>30</v>
      </c>
      <c r="I36" s="51">
        <f t="array" ref="I36">IFERROR(INDEX('Tasas de Cambio'!$E$11:$E$15,MATCH(E36,'Tasas de Cambio'!$B$11:$B$15,0)),0)</f>
        <v>3810.45</v>
      </c>
      <c r="J36" s="52">
        <f t="shared" si="2"/>
        <v>114313.5</v>
      </c>
      <c r="K36" s="53">
        <f>IFERROR(J36/'Tasas de Cambio'!$C$5,0)</f>
        <v>38104.5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327</v>
      </c>
      <c r="C37" s="30">
        <v>46516.0</v>
      </c>
      <c r="D37" s="32" t="s">
        <v>326</v>
      </c>
      <c r="E37" s="33" t="s">
        <v>12</v>
      </c>
      <c r="F37" s="34">
        <v>0.0</v>
      </c>
      <c r="G37" s="33">
        <v>3.0</v>
      </c>
      <c r="H37" s="51">
        <f t="shared" si="1"/>
        <v>0</v>
      </c>
      <c r="I37" s="51">
        <f t="array" ref="I37">IFERROR(INDEX('Tasas de Cambio'!$E$11:$E$15,MATCH(E37,'Tasas de Cambio'!$B$11:$B$15,0)),0)</f>
        <v>3810.45</v>
      </c>
      <c r="J37" s="52">
        <f t="shared" si="2"/>
        <v>0.0</v>
      </c>
      <c r="K37" s="53">
        <f>IFERROR(J37/'Tasas de Cambio'!$C$5,0)</f>
        <v>0.0</v>
      </c>
      <c r="L37" s="54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30.0" customHeight="1">
      <c r="A38" s="29" t="s">
        <v>57</v>
      </c>
      <c r="B38" s="29" t="s">
        <v>194</v>
      </c>
      <c r="C38" s="30" t="s">
        <v>393</v>
      </c>
      <c r="D38" s="32" t="s">
        <v>391</v>
      </c>
      <c r="E38" s="33" t="s">
        <v>97</v>
      </c>
      <c r="F38" s="34">
        <v>70.0</v>
      </c>
      <c r="G38" s="33">
        <v>3.0</v>
      </c>
      <c r="H38" s="51">
        <f>IFERROR(F38*G38,0)</f>
        <v>210.0</v>
      </c>
      <c r="I38" s="51">
        <f t="array" ref="I38">IFERROR(INDEX('Tasas de Cambio'!$E$11:$E$15,MATCH(E38,'Tasas de Cambio'!$B$11:$B$15,0)),0)</f>
        <v>3270.75</v>
      </c>
      <c r="J38" s="52">
        <f>IFERROR(H38*I38,0)</f>
        <v>686857.5</v>
      </c>
      <c r="K38" s="53">
        <f>IFERROR(J38/'Tasas de Cambio'!$C$5,0)</f>
        <v>228952.5</v>
      </c>
      <c r="L38" s="54" t="s">
        <v>396</v>
      </c>
      <c r="M38" s="1" t="s">
        <v>374</v>
      </c>
    </row>
    <row r="39" ht="30.0" customHeight="1">
      <c r="A39" s="29" t="s">
        <v>59</v>
      </c>
      <c r="B39" s="29" t="s">
        <v>194</v>
      </c>
      <c r="C39" s="30">
        <v>46517.0</v>
      </c>
      <c r="D39" s="32" t="s">
        <v>197</v>
      </c>
      <c r="E39" s="33" t="s">
        <v>12</v>
      </c>
      <c r="F39" s="34">
        <v>25.0</v>
      </c>
      <c r="G39" s="33">
        <v>3.0</v>
      </c>
      <c r="H39" s="51">
        <f t="shared" si="1"/>
        <v>75</v>
      </c>
      <c r="I39" s="51">
        <f t="array" ref="I39">IFERROR(INDEX('Tasas de Cambio'!$E$11:$E$15,MATCH(E39,'Tasas de Cambio'!$B$11:$B$15,0)),0)</f>
        <v>3810.45</v>
      </c>
      <c r="J39" s="52">
        <f t="shared" si="2"/>
        <v>285783.75</v>
      </c>
      <c r="K39" s="53">
        <f>IFERROR(J39/'Tasas de Cambio'!$C$5,0)</f>
        <v>95261.25</v>
      </c>
      <c r="L39" s="54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0" customHeight="1">
      <c r="A40" s="29" t="s">
        <v>57</v>
      </c>
      <c r="B40" s="29" t="s">
        <v>198</v>
      </c>
      <c r="C40" s="30" t="s">
        <v>394</v>
      </c>
      <c r="D40" s="32" t="s">
        <v>395</v>
      </c>
      <c r="E40" s="33" t="s">
        <v>97</v>
      </c>
      <c r="F40" s="34">
        <v>120.0</v>
      </c>
      <c r="G40" s="33">
        <v>3.0</v>
      </c>
      <c r="H40" s="51">
        <f>IFERROR(F40*G40,0)</f>
        <v>360.0</v>
      </c>
      <c r="I40" s="51">
        <f t="array" ref="I40">IFERROR(INDEX('Tasas de Cambio'!$E$11:$E$15,MATCH(E40,'Tasas de Cambio'!$B$11:$B$15,0)),0)</f>
        <v>3270.75</v>
      </c>
      <c r="J40" s="52">
        <f>IFERROR(H40*I40,0)</f>
        <v>1177470.0</v>
      </c>
      <c r="K40" s="53">
        <f>IFERROR(J40/'Tasas de Cambio'!$C$5,0)</f>
        <v>392490.0</v>
      </c>
      <c r="L40" s="54" t="s">
        <v>397</v>
      </c>
      <c r="M40" s="1" t="s">
        <v>374</v>
      </c>
    </row>
    <row r="41" ht="30.0" customHeight="1">
      <c r="A41" s="29" t="s">
        <v>59</v>
      </c>
      <c r="B41" s="29" t="s">
        <v>198</v>
      </c>
      <c r="C41" s="30">
        <v>46518.0</v>
      </c>
      <c r="D41" s="32" t="s">
        <v>197</v>
      </c>
      <c r="E41" s="33" t="s">
        <v>12</v>
      </c>
      <c r="F41" s="34">
        <v>25.0</v>
      </c>
      <c r="G41" s="33">
        <v>3.0</v>
      </c>
      <c r="H41" s="51">
        <f t="shared" si="1"/>
        <v>75</v>
      </c>
      <c r="I41" s="51">
        <f t="array" ref="I41">IFERROR(INDEX('Tasas de Cambio'!$E$11:$E$15,MATCH(E41,'Tasas de Cambio'!$B$11:$B$15,0)),0)</f>
        <v>3810.45</v>
      </c>
      <c r="J41" s="52">
        <f t="shared" si="2"/>
        <v>285783.75</v>
      </c>
      <c r="K41" s="53">
        <f>IFERROR(J41/'Tasas de Cambio'!$C$5,0)</f>
        <v>95261.25</v>
      </c>
      <c r="L41" s="54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30.0" customHeight="1">
      <c r="A42" s="29" t="s">
        <v>57</v>
      </c>
      <c r="B42" s="29" t="s">
        <v>201</v>
      </c>
      <c r="C42" s="30" t="s">
        <v>389</v>
      </c>
      <c r="D42" s="32" t="s">
        <v>203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123</v>
      </c>
      <c r="M42" s="1" t="s">
        <v>374</v>
      </c>
    </row>
    <row r="43" ht="30.0" customHeight="1">
      <c r="A43" s="29" t="s">
        <v>59</v>
      </c>
      <c r="B43" s="29" t="s">
        <v>201</v>
      </c>
      <c r="C43" s="30" t="s">
        <v>389</v>
      </c>
      <c r="D43" s="32" t="s">
        <v>204</v>
      </c>
      <c r="E43" s="33" t="s">
        <v>12</v>
      </c>
      <c r="F43" s="34">
        <v>0.0</v>
      </c>
      <c r="G43" s="33">
        <v>3.0</v>
      </c>
      <c r="H43" s="51">
        <f>IFERROR(F43*G43,0)</f>
        <v>0.0</v>
      </c>
      <c r="I43" s="51">
        <f t="array" ref="I43">IFERROR(INDEX('Tasas de Cambio'!$E$11:$E$15,MATCH(E43,'Tasas de Cambio'!$B$11:$B$15,0)),0)</f>
        <v>3810.45</v>
      </c>
      <c r="J43" s="52">
        <f>IFERROR(H43*I43,0)</f>
        <v>0.0</v>
      </c>
      <c r="K43" s="53">
        <f>IFERROR(J43/'Tasas de Cambio'!$C$5,0)</f>
        <v>0.0</v>
      </c>
      <c r="L43" s="54" t="s">
        <v>388</v>
      </c>
      <c r="M43" s="1" t="s">
        <v>374</v>
      </c>
    </row>
    <row r="44" ht="30.0" customHeight="1">
      <c r="A44" s="29" t="s">
        <v>57</v>
      </c>
      <c r="B44" s="29" t="s">
        <v>327</v>
      </c>
      <c r="C44" s="30">
        <v>46520.0</v>
      </c>
      <c r="D44" s="32" t="s">
        <v>326</v>
      </c>
      <c r="E44" s="33" t="s">
        <v>37</v>
      </c>
      <c r="F44" s="34">
        <v>0.0</v>
      </c>
      <c r="G44" s="33">
        <v>3.0</v>
      </c>
      <c r="H44" s="51">
        <f t="shared" si="1"/>
        <v>0</v>
      </c>
      <c r="I44" s="51">
        <f t="array" ref="I44">IFERROR(INDEX('Tasas de Cambio'!$E$11:$E$15,MATCH(E44,'Tasas de Cambio'!$B$11:$B$15,0)),0)</f>
        <v>157.82</v>
      </c>
      <c r="J44" s="52">
        <f t="shared" si="2"/>
        <v>0.0</v>
      </c>
      <c r="K44" s="53">
        <f>IFERROR(J44/'Tasas de Cambio'!$C$5,0)</f>
        <v>0.0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14</v>
      </c>
      <c r="B45" s="29" t="s">
        <v>206</v>
      </c>
      <c r="C45" s="30">
        <v>46521.0</v>
      </c>
      <c r="D45" s="32" t="s">
        <v>331</v>
      </c>
      <c r="E45" s="33" t="s">
        <v>12</v>
      </c>
      <c r="F45" s="34">
        <v>10.0</v>
      </c>
      <c r="G45" s="33">
        <v>3.0</v>
      </c>
      <c r="H45" s="51">
        <f t="shared" si="1"/>
        <v>30</v>
      </c>
      <c r="I45" s="51">
        <f t="array" ref="I45">IFERROR(INDEX('Tasas de Cambio'!$E$11:$E$15,MATCH(E45,'Tasas de Cambio'!$B$11:$B$15,0)),0)</f>
        <v>3810.45</v>
      </c>
      <c r="J45" s="52">
        <f t="shared" si="2"/>
        <v>114313.5</v>
      </c>
      <c r="K45" s="53">
        <f>IFERROR(J45/'Tasas de Cambio'!$C$5,0)</f>
        <v>38104.5</v>
      </c>
      <c r="L45" s="5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30.0" customHeight="1">
      <c r="A46" s="29" t="s">
        <v>59</v>
      </c>
      <c r="B46" s="29" t="s">
        <v>206</v>
      </c>
      <c r="C46" s="30" t="s">
        <v>390</v>
      </c>
      <c r="D46" s="32" t="s">
        <v>204</v>
      </c>
      <c r="E46" s="33" t="s">
        <v>12</v>
      </c>
      <c r="F46" s="34">
        <v>0.0</v>
      </c>
      <c r="G46" s="33">
        <v>3.0</v>
      </c>
      <c r="H46" s="51">
        <f>IFERROR(F46*G46,0)</f>
        <v>0.0</v>
      </c>
      <c r="I46" s="51">
        <f t="array" ref="I46">IFERROR(INDEX('Tasas de Cambio'!$E$11:$E$15,MATCH(E46,'Tasas de Cambio'!$B$11:$B$15,0)),0)</f>
        <v>3810.45</v>
      </c>
      <c r="J46" s="52">
        <f>IFERROR(H46*I46,0)</f>
        <v>0.0</v>
      </c>
      <c r="K46" s="53">
        <f>IFERROR(J46/'Tasas de Cambio'!$C$5,0)</f>
        <v>0.0</v>
      </c>
      <c r="L46" s="54" t="s">
        <v>388</v>
      </c>
      <c r="M46" s="1" t="s">
        <v>374</v>
      </c>
    </row>
    <row r="47" ht="30.0" customHeight="1">
      <c r="A47" s="29" t="s">
        <v>36</v>
      </c>
      <c r="B47" s="29" t="s">
        <v>212</v>
      </c>
      <c r="C47" s="30" t="s">
        <v>213</v>
      </c>
      <c r="D47" s="32" t="s">
        <v>399</v>
      </c>
      <c r="E47" s="33" t="s">
        <v>12</v>
      </c>
      <c r="F47" s="34">
        <v>400.0</v>
      </c>
      <c r="G47" s="33">
        <v>1.0</v>
      </c>
      <c r="H47" s="51">
        <f>IFERROR(F47*G47,0)</f>
        <v>400.0</v>
      </c>
      <c r="I47" s="51">
        <f t="array" ref="I47">IFERROR(INDEX('Tasas de Cambio'!$E$11:$E$15,MATCH(E47,'Tasas de Cambio'!$B$11:$B$15,0)),0)</f>
        <v>3810.45</v>
      </c>
      <c r="J47" s="52">
        <f>IFERROR(H47*I47,0)</f>
        <v>1524180.0</v>
      </c>
      <c r="K47" s="53">
        <f>IFERROR(J47/'Tasas de Cambio'!$C$5,0)</f>
        <v>508060.0</v>
      </c>
      <c r="L47" s="54" t="s">
        <v>123</v>
      </c>
      <c r="M47" s="1" t="s">
        <v>374</v>
      </c>
    </row>
    <row r="48" ht="30.0" customHeight="1">
      <c r="A48" s="29" t="s">
        <v>14</v>
      </c>
      <c r="B48" s="29" t="s">
        <v>209</v>
      </c>
      <c r="C48" s="30" t="s">
        <v>405</v>
      </c>
      <c r="D48" s="32" t="s">
        <v>404</v>
      </c>
      <c r="E48" s="33" t="s">
        <v>12</v>
      </c>
      <c r="F48" s="34">
        <v>12.0</v>
      </c>
      <c r="G48" s="33">
        <v>3.0</v>
      </c>
      <c r="H48" s="51">
        <f>IFERROR(F48*G48,0)</f>
        <v>36.0</v>
      </c>
      <c r="I48" s="51">
        <f t="array" ref="I48">IFERROR(INDEX('Tasas de Cambio'!$E$11:$E$15,MATCH(E48,'Tasas de Cambio'!$B$11:$B$15,0)),0)</f>
        <v>3810.45</v>
      </c>
      <c r="J48" s="52">
        <f>IFERROR(H48*I48,0)</f>
        <v>137176.19999999998</v>
      </c>
      <c r="K48" s="53">
        <f>IFERROR(J48/'Tasas de Cambio'!$C$5,0)</f>
        <v>45725.399999999994</v>
      </c>
      <c r="L48" s="54" t="s">
        <v>123</v>
      </c>
      <c r="M48" s="1" t="s">
        <v>374</v>
      </c>
    </row>
    <row r="49" ht="30.0" customHeight="1">
      <c r="A49" s="29" t="s">
        <v>59</v>
      </c>
      <c r="B49" s="29" t="s">
        <v>215</v>
      </c>
      <c r="C49" s="30">
        <v>46522.0</v>
      </c>
      <c r="D49" s="32" t="s">
        <v>216</v>
      </c>
      <c r="E49" s="33" t="s">
        <v>12</v>
      </c>
      <c r="F49" s="34">
        <v>30.0</v>
      </c>
      <c r="G49" s="33">
        <v>3.0</v>
      </c>
      <c r="H49" s="51">
        <f t="shared" si="1"/>
        <v>90</v>
      </c>
      <c r="I49" s="51">
        <f t="array" ref="I49">IFERROR(INDEX('Tasas de Cambio'!$E$11:$E$15,MATCH(E49,'Tasas de Cambio'!$B$11:$B$15,0)),0)</f>
        <v>3810.45</v>
      </c>
      <c r="J49" s="52">
        <f t="shared" si="2"/>
        <v>342940.5</v>
      </c>
      <c r="K49" s="53">
        <f>IFERROR(J49/'Tasas de Cambio'!$C$5,0)</f>
        <v>114313.5</v>
      </c>
      <c r="L49" s="5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11</v>
      </c>
      <c r="B50" s="29" t="s">
        <v>334</v>
      </c>
      <c r="C50" s="30">
        <v>46523.0</v>
      </c>
      <c r="D50" s="32" t="s">
        <v>335</v>
      </c>
      <c r="E50" s="33" t="s">
        <v>55</v>
      </c>
      <c r="F50" s="34">
        <v>1557040.0</v>
      </c>
      <c r="G50" s="33">
        <v>3.0</v>
      </c>
      <c r="H50" s="51">
        <f t="shared" si="1"/>
        <v>4671120</v>
      </c>
      <c r="I50" s="51">
        <f t="array" ref="I50">IFERROR(INDEX('Tasas de Cambio'!$E$11:$E$15,MATCH(E50,'Tasas de Cambio'!$B$11:$B$15,0)),0)</f>
        <v>1</v>
      </c>
      <c r="J50" s="52">
        <f t="shared" si="2"/>
        <v>4671120</v>
      </c>
      <c r="K50" s="53">
        <f>IFERROR(J50/'Tasas de Cambio'!$C$5,0)</f>
        <v>1557040</v>
      </c>
      <c r="L50" s="54" t="s">
        <v>336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14</v>
      </c>
      <c r="B51" s="29" t="s">
        <v>209</v>
      </c>
      <c r="C51" s="30">
        <v>46523.0</v>
      </c>
      <c r="D51" s="32" t="s">
        <v>337</v>
      </c>
      <c r="E51" s="33" t="s">
        <v>12</v>
      </c>
      <c r="F51" s="34">
        <v>30.0</v>
      </c>
      <c r="G51" s="33">
        <v>1.0</v>
      </c>
      <c r="H51" s="51">
        <f t="shared" si="1"/>
        <v>30</v>
      </c>
      <c r="I51" s="51">
        <f t="array" ref="I51">IFERROR(INDEX('Tasas de Cambio'!$E$11:$E$15,MATCH(E51,'Tasas de Cambio'!$B$11:$B$15,0)),0)</f>
        <v>3810.45</v>
      </c>
      <c r="J51" s="52">
        <f t="shared" si="2"/>
        <v>114313.5</v>
      </c>
      <c r="K51" s="53">
        <f>IFERROR(J51/'Tasas de Cambio'!$C$5,0)</f>
        <v>38104.5</v>
      </c>
      <c r="L51" s="54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29" t="s">
        <v>57</v>
      </c>
      <c r="B52" s="29" t="s">
        <v>228</v>
      </c>
      <c r="C52" s="30" t="s">
        <v>210</v>
      </c>
      <c r="D52" s="32" t="s">
        <v>400</v>
      </c>
      <c r="E52" s="33" t="s">
        <v>12</v>
      </c>
      <c r="F52" s="34">
        <v>10.0</v>
      </c>
      <c r="G52" s="33">
        <v>3.0</v>
      </c>
      <c r="H52" s="51">
        <f>IFERROR(F52*G52,0)</f>
        <v>30.0</v>
      </c>
      <c r="I52" s="51">
        <f t="array" ref="I52">IFERROR(INDEX('Tasas de Cambio'!$E$11:$E$15,MATCH(E52,'Tasas de Cambio'!$B$11:$B$15,0)),0)</f>
        <v>3810.45</v>
      </c>
      <c r="J52" s="52">
        <f>IFERROR(H52*I52,0)</f>
        <v>114313.5</v>
      </c>
      <c r="K52" s="53">
        <f>IFERROR(J52/'Tasas de Cambio'!$C$5,0)</f>
        <v>38104.5</v>
      </c>
      <c r="L52" s="54" t="s">
        <v>401</v>
      </c>
      <c r="M52" s="1" t="s">
        <v>374</v>
      </c>
    </row>
    <row r="53" ht="30.0" customHeight="1">
      <c r="A53" s="29" t="s">
        <v>59</v>
      </c>
      <c r="B53" s="29" t="s">
        <v>228</v>
      </c>
      <c r="C53" s="30">
        <v>46523.0</v>
      </c>
      <c r="D53" s="32" t="s">
        <v>230</v>
      </c>
      <c r="E53" s="33" t="s">
        <v>12</v>
      </c>
      <c r="F53" s="34">
        <v>25.0</v>
      </c>
      <c r="G53" s="33">
        <v>3.0</v>
      </c>
      <c r="H53" s="51">
        <f t="shared" si="1"/>
        <v>75</v>
      </c>
      <c r="I53" s="51">
        <f t="array" ref="I53">IFERROR(INDEX('Tasas de Cambio'!$E$11:$E$15,MATCH(E53,'Tasas de Cambio'!$B$11:$B$15,0)),0)</f>
        <v>3810.45</v>
      </c>
      <c r="J53" s="52">
        <f t="shared" si="2"/>
        <v>285783.75</v>
      </c>
      <c r="K53" s="53">
        <f>IFERROR(J53/'Tasas de Cambio'!$C$5,0)</f>
        <v>95261.25</v>
      </c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32"/>
      <c r="E54" s="33"/>
      <c r="F54" s="34"/>
      <c r="G54" s="33"/>
      <c r="H54" s="51"/>
      <c r="I54" s="51"/>
      <c r="J54" s="52"/>
      <c r="K54" s="53"/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29"/>
      <c r="B55" s="29"/>
      <c r="C55" s="30"/>
      <c r="D55" s="66" t="s">
        <v>177</v>
      </c>
      <c r="E55" s="33"/>
      <c r="F55" s="34"/>
      <c r="G55" s="33"/>
      <c r="H55" s="51"/>
      <c r="I55" s="51"/>
      <c r="J55" s="67">
        <f t="shared" ref="J55:K55" si="3">SUM(J5:J53)</f>
        <v>45012581.1</v>
      </c>
      <c r="K55" s="67">
        <f t="shared" si="3"/>
        <v>15004193.7</v>
      </c>
      <c r="L55" s="54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14 E16:E23 E25:E29 E31:E33 E35:E59 E61:E63 E65:E122">
      <formula1>$P$2:$P$6</formula1>
    </dataValidation>
    <dataValidation type="list" allowBlank="1" sqref="A5:A122">
      <formula1>$O$2:$O$9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339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SUMIF('Crucero y Zurich'!$A:$A,B7,'Crucero y Zurich'!$J:$J)</f>
        <v>12637329</v>
      </c>
      <c r="D7" s="57">
        <f>IFERROR(C7/'Tasas de Cambio'!$E$14,0)</f>
        <v>3926.77045</v>
      </c>
      <c r="E7" s="58">
        <f t="shared" ref="E7:E14" si="1">IFERROR(C7/$C$15,0)</f>
        <v>0.280751041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SUMIF('Crucero y Zurich'!$A:$A,B8,'Crucero y Zurich'!$J:$J)</f>
        <v>1606218.6</v>
      </c>
      <c r="D8" s="57">
        <f>IFERROR(C8/'Tasas de Cambio'!$E$14,0)</f>
        <v>499.0969005</v>
      </c>
      <c r="E8" s="58">
        <f t="shared" si="1"/>
        <v>0.0356837702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SUMIF('Crucero y Zurich'!$A:$A,B9,'Crucero y Zurich'!$J:$J)</f>
        <v>7098252</v>
      </c>
      <c r="D9" s="57">
        <f>IFERROR(C9/'Tasas de Cambio'!$E$14,0)</f>
        <v>2205.624796</v>
      </c>
      <c r="E9" s="58">
        <f t="shared" si="1"/>
        <v>0.157694845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SUMIF('Crucero y Zurich'!$A:$A,B10,'Crucero y Zurich'!$J:$J)</f>
        <v>6468682.5</v>
      </c>
      <c r="D10" s="57">
        <f>IFERROR(C10/'Tasas de Cambio'!$E$14,0)</f>
        <v>2010</v>
      </c>
      <c r="E10" s="58">
        <f t="shared" si="1"/>
        <v>0.143708322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SUMIF('Crucero y Zurich'!$A:$A,B11,'Crucero y Zurich'!$J:$J)</f>
        <v>9876447</v>
      </c>
      <c r="D11" s="57">
        <f>IFERROR(C11/'Tasas de Cambio'!$E$14,0)</f>
        <v>3068.887439</v>
      </c>
      <c r="E11" s="58">
        <f t="shared" si="1"/>
        <v>0.2194152559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SUMIF('Crucero y Zurich'!$A:$A,B12,'Crucero y Zurich'!$J:$J)</f>
        <v>4475268</v>
      </c>
      <c r="D12" s="57">
        <f>IFERROR(C12/'Tasas de Cambio'!$E$14,0)</f>
        <v>1390.590538</v>
      </c>
      <c r="E12" s="58">
        <f t="shared" si="1"/>
        <v>0.09942260343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SUMIF('Crucero y Zurich'!$A:$A,B13,'Crucero y Zurich'!$J:$J)</f>
        <v>450000</v>
      </c>
      <c r="D13" s="57">
        <f>IFERROR(C13/'Tasas de Cambio'!$E$14,0)</f>
        <v>139.827546</v>
      </c>
      <c r="E13" s="58">
        <f t="shared" si="1"/>
        <v>0.009997204981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SUMIF('Crucero y Zurich'!$A:$A,B14,'Crucero y Zurich'!$J:$J)</f>
        <v>2400384</v>
      </c>
      <c r="D14" s="57">
        <f>IFERROR(C14/'Tasas de Cambio'!$E$14,0)</f>
        <v>745.8662316</v>
      </c>
      <c r="E14" s="58">
        <f t="shared" si="1"/>
        <v>0.05332695752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45012581.1</v>
      </c>
      <c r="D15" s="60">
        <f t="shared" si="2"/>
        <v>13986.6639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15004193.7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4662.2213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937762.1063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9.86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340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57</v>
      </c>
      <c r="B5" s="29" t="s">
        <v>171</v>
      </c>
      <c r="C5" s="30" t="s">
        <v>173</v>
      </c>
      <c r="D5" s="32" t="s">
        <v>381</v>
      </c>
      <c r="E5" s="33" t="s">
        <v>97</v>
      </c>
      <c r="F5" s="34">
        <v>10.0</v>
      </c>
      <c r="G5" s="33">
        <v>3.0</v>
      </c>
      <c r="H5" s="51">
        <f>IFERROR(F5*G5,0)</f>
        <v>30.0</v>
      </c>
      <c r="I5" s="51">
        <f t="array" ref="I5">IFERROR(INDEX('Tasas de Cambio'!$E$11:$E$15,MATCH(E5,'Tasas de Cambio'!$B$11:$B$15,0)),0)</f>
        <v>3270.75</v>
      </c>
      <c r="J5" s="52">
        <f>IFERROR(H5*I5,0)</f>
        <v>98122.5</v>
      </c>
      <c r="K5" s="53">
        <f>IFERROR(J5/'Tasas de Cambio'!$C$5,0)</f>
        <v>32707.5</v>
      </c>
      <c r="L5" s="54" t="s">
        <v>382</v>
      </c>
      <c r="M5" s="1" t="s">
        <v>374</v>
      </c>
    </row>
    <row r="6" ht="30.0" customHeight="1">
      <c r="A6" s="29" t="s">
        <v>57</v>
      </c>
      <c r="B6" s="29" t="s">
        <v>171</v>
      </c>
      <c r="C6" s="30" t="s">
        <v>173</v>
      </c>
      <c r="D6" s="32" t="s">
        <v>383</v>
      </c>
      <c r="E6" s="33" t="s">
        <v>97</v>
      </c>
      <c r="F6" s="34">
        <v>10.0</v>
      </c>
      <c r="G6" s="33">
        <v>3.0</v>
      </c>
      <c r="H6" s="51">
        <f>IFERROR(F6*G6,0)</f>
        <v>30.0</v>
      </c>
      <c r="I6" s="51">
        <f t="array" ref="I6">IFERROR(INDEX('Tasas de Cambio'!$E$11:$E$15,MATCH(E6,'Tasas de Cambio'!$B$11:$B$15,0)),0)</f>
        <v>3270.75</v>
      </c>
      <c r="J6" s="52">
        <f>IFERROR(H6*I6,0)</f>
        <v>98122.5</v>
      </c>
      <c r="K6" s="53">
        <f>IFERROR(J6/'Tasas de Cambio'!$C$5,0)</f>
        <v>32707.5</v>
      </c>
      <c r="L6" s="54" t="s">
        <v>384</v>
      </c>
      <c r="M6" s="1" t="s">
        <v>374</v>
      </c>
    </row>
    <row r="7" ht="30.0" customHeight="1">
      <c r="A7" s="29" t="s">
        <v>64</v>
      </c>
      <c r="B7" s="29" t="s">
        <v>191</v>
      </c>
      <c r="C7" s="30" t="s">
        <v>192</v>
      </c>
      <c r="D7" s="32" t="s">
        <v>386</v>
      </c>
      <c r="E7" s="33" t="s">
        <v>55</v>
      </c>
      <c r="F7" s="34">
        <v>0.0</v>
      </c>
      <c r="G7" s="33">
        <v>1.0</v>
      </c>
      <c r="H7" s="51">
        <f>IFERROR(F7*G7,0)</f>
        <v>0.0</v>
      </c>
      <c r="I7" s="51">
        <f t="array" ref="I7">IFERROR(INDEX('Tasas de Cambio'!$E$11:$E$15,MATCH(E7,'Tasas de Cambio'!$B$11:$B$15,0)),0)</f>
        <v>1.0</v>
      </c>
      <c r="J7" s="52">
        <f>IFERROR(H7*I7,0)</f>
        <v>0.0</v>
      </c>
      <c r="K7" s="53">
        <f>IFERROR(J7/'Tasas de Cambio'!$C$5,0)</f>
        <v>0.0</v>
      </c>
      <c r="L7" s="54" t="s">
        <v>387</v>
      </c>
      <c r="M7" s="1" t="s">
        <v>374</v>
      </c>
    </row>
    <row r="8" ht="30.0" customHeight="1">
      <c r="A8" s="29" t="s">
        <v>64</v>
      </c>
      <c r="B8" s="29" t="s">
        <v>191</v>
      </c>
      <c r="C8" s="30" t="s">
        <v>205</v>
      </c>
      <c r="D8" s="32" t="s">
        <v>386</v>
      </c>
      <c r="E8" s="33" t="s">
        <v>55</v>
      </c>
      <c r="F8" s="34">
        <v>0.0</v>
      </c>
      <c r="G8" s="33">
        <v>1.0</v>
      </c>
      <c r="H8" s="51">
        <f>IFERROR(F8*G8,0)</f>
        <v>0.0</v>
      </c>
      <c r="I8" s="51">
        <f t="array" ref="I8">IFERROR(INDEX('Tasas de Cambio'!$E$11:$E$15,MATCH(E8,'Tasas de Cambio'!$B$11:$B$15,0)),0)</f>
        <v>1.0</v>
      </c>
      <c r="J8" s="52">
        <f>IFERROR(H8*I8,0)</f>
        <v>0.0</v>
      </c>
      <c r="K8" s="53">
        <f>IFERROR(J8/'Tasas de Cambio'!$C$5,0)</f>
        <v>0.0</v>
      </c>
      <c r="L8" s="54" t="s">
        <v>387</v>
      </c>
      <c r="M8" s="1" t="s">
        <v>374</v>
      </c>
    </row>
    <row r="9" ht="30.0" customHeight="1">
      <c r="A9" s="29" t="s">
        <v>14</v>
      </c>
      <c r="B9" s="29" t="s">
        <v>228</v>
      </c>
      <c r="C9" s="30" t="s">
        <v>210</v>
      </c>
      <c r="D9" s="32" t="s">
        <v>402</v>
      </c>
      <c r="E9" s="33" t="s">
        <v>12</v>
      </c>
      <c r="F9" s="34">
        <v>25.0</v>
      </c>
      <c r="G9" s="33">
        <v>3.0</v>
      </c>
      <c r="H9" s="51">
        <f>IFERROR(F9*G9,0)</f>
        <v>75.0</v>
      </c>
      <c r="I9" s="51">
        <f t="array" ref="I9">IFERROR(INDEX('Tasas de Cambio'!$E$11:$E$15,MATCH(E9,'Tasas de Cambio'!$B$11:$B$15,0)),0)</f>
        <v>3810.45</v>
      </c>
      <c r="J9" s="52">
        <f>IFERROR(H9*I9,0)</f>
        <v>285783.75</v>
      </c>
      <c r="K9" s="53">
        <f>IFERROR(J9/'Tasas de Cambio'!$C$5,0)</f>
        <v>95261.25</v>
      </c>
      <c r="L9" s="54" t="s">
        <v>403</v>
      </c>
      <c r="M9" s="1" t="s">
        <v>374</v>
      </c>
    </row>
    <row r="10" ht="30.0" customHeight="1">
      <c r="A10" s="29" t="s">
        <v>64</v>
      </c>
      <c r="B10" s="29"/>
      <c r="C10" s="30" t="s">
        <v>121</v>
      </c>
      <c r="D10" s="32" t="s">
        <v>122</v>
      </c>
      <c r="E10" s="33" t="s">
        <v>97</v>
      </c>
      <c r="F10" s="34">
        <v>52.0</v>
      </c>
      <c r="G10" s="33">
        <v>1.0</v>
      </c>
      <c r="H10" s="51">
        <f t="shared" si="1"/>
        <v>52</v>
      </c>
      <c r="I10" s="51">
        <f t="array" ref="I10">IFERROR(INDEX('Tasas de Cambio'!$E$11:$E$15,MATCH(E10,'Tasas de Cambio'!$B$11:$B$15,0)),0)</f>
        <v>3270.75</v>
      </c>
      <c r="J10" s="52">
        <f t="shared" si="2"/>
        <v>170079.0</v>
      </c>
      <c r="K10" s="53">
        <f>IFERROR(J10/'Tasas de Cambio'!$C$5,0)</f>
        <v>56693.0</v>
      </c>
      <c r="L10" s="54" t="s">
        <v>371</v>
      </c>
      <c r="M10" s="1" t="s">
        <v>374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30.0" customHeight="1">
      <c r="A11" s="29" t="s">
        <v>64</v>
      </c>
      <c r="B11" s="29"/>
      <c r="C11" s="30" t="s">
        <v>118</v>
      </c>
      <c r="D11" s="32" t="s">
        <v>119</v>
      </c>
      <c r="E11" s="33" t="s">
        <v>12</v>
      </c>
      <c r="F11" s="34">
        <v>200.0</v>
      </c>
      <c r="G11" s="33">
        <v>3.0</v>
      </c>
      <c r="H11" s="51">
        <f t="shared" si="1"/>
        <v>600</v>
      </c>
      <c r="I11" s="51">
        <f t="array" ref="I11">IFERROR(INDEX('Tasas de Cambio'!$E$11:$E$15,MATCH(E11,'Tasas de Cambio'!$B$11:$B$15,0)),0)</f>
        <v>3810.45</v>
      </c>
      <c r="J11" s="52">
        <f t="shared" si="2"/>
        <v>2286270.0</v>
      </c>
      <c r="K11" s="53">
        <f>IFERROR(J11/'Tasas de Cambio'!$C$5,0)</f>
        <v>762090.0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11</v>
      </c>
      <c r="B12" s="29" t="s">
        <v>341</v>
      </c>
      <c r="C12" s="30">
        <v>46507.0</v>
      </c>
      <c r="D12" s="32" t="s">
        <v>342</v>
      </c>
      <c r="E12" s="33" t="s">
        <v>55</v>
      </c>
      <c r="F12" s="34">
        <v>1435635.0</v>
      </c>
      <c r="G12" s="33">
        <v>3.0</v>
      </c>
      <c r="H12" s="51">
        <f t="shared" si="1"/>
        <v>4306905</v>
      </c>
      <c r="I12" s="51">
        <f t="array" ref="I12">IFERROR(INDEX('Tasas de Cambio'!$E$11:$E$15,MATCH(E12,'Tasas de Cambio'!$B$11:$B$15,0)),0)</f>
        <v>1</v>
      </c>
      <c r="J12" s="52">
        <f t="shared" si="2"/>
        <v>4306905</v>
      </c>
      <c r="K12" s="53">
        <f>IFERROR(J12/'Tasas de Cambio'!$C$5,0)</f>
        <v>1435635</v>
      </c>
      <c r="L12" s="54" t="s">
        <v>343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0" customHeight="1">
      <c r="A13" s="29" t="s">
        <v>14</v>
      </c>
      <c r="B13" s="29" t="s">
        <v>270</v>
      </c>
      <c r="C13" s="30">
        <v>46508.0</v>
      </c>
      <c r="D13" s="32" t="s">
        <v>344</v>
      </c>
      <c r="E13" s="33" t="s">
        <v>12</v>
      </c>
      <c r="F13" s="34">
        <v>75.0</v>
      </c>
      <c r="G13" s="33">
        <v>1.0</v>
      </c>
      <c r="H13" s="51">
        <f t="shared" si="1"/>
        <v>75</v>
      </c>
      <c r="I13" s="51">
        <f t="array" ref="I13">IFERROR(INDEX('Tasas de Cambio'!$E$11:$E$15,MATCH(E13,'Tasas de Cambio'!$B$11:$B$15,0)),0)</f>
        <v>3810.45</v>
      </c>
      <c r="J13" s="52">
        <f t="shared" si="2"/>
        <v>285783.75</v>
      </c>
      <c r="K13" s="53">
        <f>IFERROR(J13/'Tasas de Cambio'!$C$5,0)</f>
        <v>95261.25</v>
      </c>
      <c r="L13" s="54" t="s">
        <v>345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29" t="s">
        <v>36</v>
      </c>
      <c r="B14" s="29" t="s">
        <v>285</v>
      </c>
      <c r="C14" s="30" t="s">
        <v>298</v>
      </c>
      <c r="D14" s="32" t="s">
        <v>287</v>
      </c>
      <c r="E14" s="33" t="s">
        <v>12</v>
      </c>
      <c r="F14" s="34">
        <v>130.0</v>
      </c>
      <c r="G14" s="33">
        <v>5.0</v>
      </c>
      <c r="H14" s="51">
        <f>IFERROR(F14*G14,0)</f>
        <v>650.0</v>
      </c>
      <c r="I14" s="51">
        <f t="array" ref="I14">IFERROR(INDEX('Tasas de Cambio'!$E$11:$E$15,MATCH(E14,'Tasas de Cambio'!$B$11:$B$15,0)),0)</f>
        <v>3810.45</v>
      </c>
      <c r="J14" s="52">
        <f>IFERROR(H14*I14,0)</f>
        <v>2476792.5</v>
      </c>
      <c r="K14" s="53">
        <f>IFERROR(J14/'Tasas de Cambio'!$C$5,0)</f>
        <v>825597.5</v>
      </c>
      <c r="L14" s="54" t="s">
        <v>347</v>
      </c>
      <c r="M14" s="1" t="s">
        <v>374</v>
      </c>
    </row>
    <row r="15" ht="18.0" customHeight="1">
      <c r="A15" s="29" t="s">
        <v>48</v>
      </c>
      <c r="B15" s="29" t="s">
        <v>49</v>
      </c>
      <c r="C15" s="30" t="s">
        <v>300</v>
      </c>
      <c r="D15" s="32" t="s">
        <v>376</v>
      </c>
      <c r="E15" s="33" t="s">
        <v>55</v>
      </c>
      <c r="F15" s="34">
        <v>295980.0</v>
      </c>
      <c r="G15" s="33">
        <v>3.0</v>
      </c>
      <c r="H15" s="51">
        <f>IFERROR(F15*G15,0)</f>
        <v>887940.0</v>
      </c>
      <c r="I15" s="51">
        <f t="array" ref="I15">IFERROR(INDEX('Tasas de Cambio'!$E$11:$E$15,MATCH(E15,'Tasas de Cambio'!$B$11:$B$15,0)),0)</f>
        <v>1.0</v>
      </c>
      <c r="J15" s="52">
        <f>IFERROR(H15*I15,0)</f>
        <v>887940.0</v>
      </c>
      <c r="K15" s="53">
        <f>IFERROR(J15/'Tasas de Cambio'!$C$5,0)</f>
        <v>295980.0</v>
      </c>
      <c r="L15" s="54" t="s">
        <v>375</v>
      </c>
      <c r="M15" s="1" t="s">
        <v>374</v>
      </c>
    </row>
    <row r="16" ht="30.0" customHeight="1">
      <c r="A16" s="29" t="s">
        <v>57</v>
      </c>
      <c r="B16" s="29" t="s">
        <v>292</v>
      </c>
      <c r="C16" s="30" t="s">
        <v>125</v>
      </c>
      <c r="D16" s="32" t="s">
        <v>348</v>
      </c>
      <c r="E16" s="33" t="s">
        <v>55</v>
      </c>
      <c r="F16" s="34">
        <v>2690900.0</v>
      </c>
      <c r="G16" s="33">
        <v>1.0</v>
      </c>
      <c r="H16" s="51">
        <f t="shared" si="1"/>
        <v>2690900</v>
      </c>
      <c r="I16" s="51">
        <f t="array" ref="I16">IFERROR(INDEX('Tasas de Cambio'!$E$11:$E$15,MATCH(E16,'Tasas de Cambio'!$B$11:$B$15,0)),0)</f>
        <v>1</v>
      </c>
      <c r="J16" s="52">
        <f t="shared" si="2"/>
        <v>2690900</v>
      </c>
      <c r="K16" s="53">
        <f>IFERROR(J16/'Tasas de Cambio'!$C$5,0)</f>
        <v>896966.6667</v>
      </c>
      <c r="L16" s="54" t="s">
        <v>349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29" t="s">
        <v>57</v>
      </c>
      <c r="B17" s="29" t="s">
        <v>292</v>
      </c>
      <c r="C17" s="30">
        <v>46509.0</v>
      </c>
      <c r="D17" s="32" t="s">
        <v>290</v>
      </c>
      <c r="E17" s="33" t="s">
        <v>97</v>
      </c>
      <c r="F17" s="34">
        <v>23.0</v>
      </c>
      <c r="G17" s="33">
        <v>3.0</v>
      </c>
      <c r="H17" s="51">
        <f t="shared" si="1"/>
        <v>69</v>
      </c>
      <c r="I17" s="51">
        <f t="array" ref="I17">IFERROR(INDEX('Tasas de Cambio'!$E$11:$E$15,MATCH(E17,'Tasas de Cambio'!$B$11:$B$15,0)),0)</f>
        <v>3270.75</v>
      </c>
      <c r="J17" s="52">
        <f t="shared" si="2"/>
        <v>225681.75</v>
      </c>
      <c r="K17" s="53">
        <f>IFERROR(J17/'Tasas de Cambio'!$C$5,0)</f>
        <v>75227.25</v>
      </c>
      <c r="L17" s="54" t="s">
        <v>350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292</v>
      </c>
      <c r="C18" s="30">
        <v>46509.0</v>
      </c>
      <c r="D18" s="32" t="s">
        <v>126</v>
      </c>
      <c r="E18" s="33" t="s">
        <v>12</v>
      </c>
      <c r="F18" s="34">
        <v>40.0</v>
      </c>
      <c r="G18" s="33">
        <v>3.0</v>
      </c>
      <c r="H18" s="51">
        <f t="shared" si="1"/>
        <v>120</v>
      </c>
      <c r="I18" s="51">
        <f t="array" ref="I18">IFERROR(INDEX('Tasas de Cambio'!$E$11:$E$15,MATCH(E18,'Tasas de Cambio'!$B$11:$B$15,0)),0)</f>
        <v>3810.45</v>
      </c>
      <c r="J18" s="52">
        <f t="shared" si="2"/>
        <v>457254.0</v>
      </c>
      <c r="K18" s="53">
        <f>IFERROR(J18/'Tasas de Cambio'!$C$5,0)</f>
        <v>152418.0</v>
      </c>
      <c r="L18" s="54" t="s">
        <v>351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292</v>
      </c>
      <c r="C19" s="30">
        <v>46510.0</v>
      </c>
      <c r="D19" s="32" t="s">
        <v>352</v>
      </c>
      <c r="E19" s="33" t="s">
        <v>12</v>
      </c>
      <c r="F19" s="34">
        <v>85.0</v>
      </c>
      <c r="G19" s="33">
        <v>3.0</v>
      </c>
      <c r="H19" s="51">
        <f t="shared" si="1"/>
        <v>255</v>
      </c>
      <c r="I19" s="51">
        <f t="array" ref="I19">IFERROR(INDEX('Tasas de Cambio'!$E$11:$E$15,MATCH(E19,'Tasas de Cambio'!$B$11:$B$15,0)),0)</f>
        <v>3810.45</v>
      </c>
      <c r="J19" s="52">
        <f t="shared" si="2"/>
        <v>971664.75</v>
      </c>
      <c r="K19" s="53">
        <f>IFERROR(J19/'Tasas de Cambio'!$C$5,0)</f>
        <v>323888.25</v>
      </c>
      <c r="L19" s="54" t="s">
        <v>353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29" t="s">
        <v>59</v>
      </c>
      <c r="B20" s="29" t="s">
        <v>292</v>
      </c>
      <c r="C20" s="30">
        <v>46510.0</v>
      </c>
      <c r="D20" s="32" t="s">
        <v>126</v>
      </c>
      <c r="E20" s="33" t="s">
        <v>12</v>
      </c>
      <c r="F20" s="34">
        <v>40.0</v>
      </c>
      <c r="G20" s="33">
        <v>3.0</v>
      </c>
      <c r="H20" s="51">
        <f t="shared" si="1"/>
        <v>120</v>
      </c>
      <c r="I20" s="51">
        <f t="array" ref="I20">IFERROR(INDEX('Tasas de Cambio'!$E$11:$E$15,MATCH(E20,'Tasas de Cambio'!$B$11:$B$15,0)),0)</f>
        <v>3810.45</v>
      </c>
      <c r="J20" s="52">
        <f t="shared" si="2"/>
        <v>457254.0</v>
      </c>
      <c r="K20" s="53">
        <f>IFERROR(J20/'Tasas de Cambio'!$C$5,0)</f>
        <v>152418.0</v>
      </c>
      <c r="L20" s="54" t="s">
        <v>351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30.0" customHeight="1">
      <c r="A21" s="29" t="s">
        <v>57</v>
      </c>
      <c r="B21" s="29" t="s">
        <v>292</v>
      </c>
      <c r="C21" s="30">
        <v>46511.0</v>
      </c>
      <c r="D21" s="32" t="s">
        <v>303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 t="s">
        <v>354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59</v>
      </c>
      <c r="B22" s="29" t="s">
        <v>292</v>
      </c>
      <c r="C22" s="30">
        <v>46511.0</v>
      </c>
      <c r="D22" s="32" t="s">
        <v>126</v>
      </c>
      <c r="E22" s="33" t="s">
        <v>12</v>
      </c>
      <c r="F22" s="34">
        <v>40.0</v>
      </c>
      <c r="G22" s="33">
        <v>3.0</v>
      </c>
      <c r="H22" s="51">
        <f t="shared" si="1"/>
        <v>120</v>
      </c>
      <c r="I22" s="51">
        <f t="array" ref="I22">IFERROR(INDEX('Tasas de Cambio'!$E$11:$E$15,MATCH(E22,'Tasas de Cambio'!$B$11:$B$15,0)),0)</f>
        <v>3810.45</v>
      </c>
      <c r="J22" s="52">
        <f t="shared" si="2"/>
        <v>457254.0</v>
      </c>
      <c r="K22" s="53">
        <f>IFERROR(J22/'Tasas de Cambio'!$C$5,0)</f>
        <v>152418.0</v>
      </c>
      <c r="L22" s="54" t="s">
        <v>351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29" t="s">
        <v>59</v>
      </c>
      <c r="B23" s="29" t="s">
        <v>292</v>
      </c>
      <c r="C23" s="30">
        <v>46512.0</v>
      </c>
      <c r="D23" s="32" t="s">
        <v>126</v>
      </c>
      <c r="E23" s="33" t="s">
        <v>12</v>
      </c>
      <c r="F23" s="34">
        <v>40.0</v>
      </c>
      <c r="G23" s="33">
        <v>3.0</v>
      </c>
      <c r="H23" s="51">
        <f t="shared" si="1"/>
        <v>120</v>
      </c>
      <c r="I23" s="51">
        <f t="array" ref="I23">IFERROR(INDEX('Tasas de Cambio'!$E$11:$E$15,MATCH(E23,'Tasas de Cambio'!$B$11:$B$15,0)),0)</f>
        <v>3810.45</v>
      </c>
      <c r="J23" s="52">
        <f t="shared" si="2"/>
        <v>457254.0</v>
      </c>
      <c r="K23" s="53">
        <f>IFERROR(J23/'Tasas de Cambio'!$C$5,0)</f>
        <v>152418.0</v>
      </c>
      <c r="L23" s="54" t="s">
        <v>351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36</v>
      </c>
      <c r="B24" s="29" t="s">
        <v>164</v>
      </c>
      <c r="C24" s="30" t="s">
        <v>165</v>
      </c>
      <c r="D24" s="32" t="s">
        <v>379</v>
      </c>
      <c r="E24" s="33" t="s">
        <v>55</v>
      </c>
      <c r="F24" s="34">
        <v>1900000.0</v>
      </c>
      <c r="G24" s="33">
        <v>1.0</v>
      </c>
      <c r="H24" s="51">
        <f>IFERROR(F24*G24,0)</f>
        <v>1900000.0</v>
      </c>
      <c r="I24" s="51">
        <f t="array" ref="I24">IFERROR(INDEX('Tasas de Cambio'!$E$11:$E$15,MATCH(E24,'Tasas de Cambio'!$B$11:$B$15,0)),0)</f>
        <v>1.0</v>
      </c>
      <c r="J24" s="52">
        <f>IFERROR(H24*I24,0)</f>
        <v>1900000.0</v>
      </c>
      <c r="K24" s="53">
        <f>IFERROR(J24/'Tasas de Cambio'!$C$5,0)</f>
        <v>633333.3333333334</v>
      </c>
      <c r="L24" s="54" t="s">
        <v>380</v>
      </c>
      <c r="M24" s="1" t="s">
        <v>374</v>
      </c>
    </row>
    <row r="25" ht="30.0" customHeight="1">
      <c r="A25" s="29" t="s">
        <v>11</v>
      </c>
      <c r="B25" s="29" t="s">
        <v>355</v>
      </c>
      <c r="C25" s="30">
        <v>46513.0</v>
      </c>
      <c r="D25" s="32" t="s">
        <v>356</v>
      </c>
      <c r="E25" s="33" t="s">
        <v>12</v>
      </c>
      <c r="F25" s="34">
        <v>156.97</v>
      </c>
      <c r="G25" s="33">
        <v>3.0</v>
      </c>
      <c r="H25" s="51">
        <f t="shared" si="1"/>
        <v>470.91</v>
      </c>
      <c r="I25" s="51">
        <f t="array" ref="I25">IFERROR(INDEX('Tasas de Cambio'!$E$11:$E$15,MATCH(E25,'Tasas de Cambio'!$B$11:$B$15,0)),0)</f>
        <v>3810.45</v>
      </c>
      <c r="J25" s="52">
        <f t="shared" si="2"/>
        <v>1794379.0095</v>
      </c>
      <c r="K25" s="53">
        <f>IFERROR(J25/'Tasas de Cambio'!$C$5,0)</f>
        <v>598126.3365</v>
      </c>
      <c r="L25" s="54" t="s">
        <v>357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30.0" customHeight="1">
      <c r="A26" s="29" t="s">
        <v>14</v>
      </c>
      <c r="B26" s="29" t="s">
        <v>270</v>
      </c>
      <c r="C26" s="30">
        <v>46513.0</v>
      </c>
      <c r="D26" s="32" t="s">
        <v>309</v>
      </c>
      <c r="E26" s="33" t="s">
        <v>12</v>
      </c>
      <c r="F26" s="34">
        <v>75.0</v>
      </c>
      <c r="G26" s="33">
        <v>1.0</v>
      </c>
      <c r="H26" s="51">
        <f t="shared" si="1"/>
        <v>75</v>
      </c>
      <c r="I26" s="51">
        <f t="array" ref="I26">IFERROR(INDEX('Tasas de Cambio'!$E$11:$E$15,MATCH(E26,'Tasas de Cambio'!$B$11:$B$15,0)),0)</f>
        <v>3810.45</v>
      </c>
      <c r="J26" s="52">
        <f t="shared" si="2"/>
        <v>285783.75</v>
      </c>
      <c r="K26" s="53">
        <f>IFERROR(J26/'Tasas de Cambio'!$C$5,0)</f>
        <v>95261.25</v>
      </c>
      <c r="L26" s="54" t="s">
        <v>358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14</v>
      </c>
      <c r="B27" s="29" t="s">
        <v>159</v>
      </c>
      <c r="C27" s="30" t="s">
        <v>409</v>
      </c>
      <c r="D27" s="32" t="s">
        <v>160</v>
      </c>
      <c r="E27" s="33" t="s">
        <v>12</v>
      </c>
      <c r="F27" s="34">
        <v>40.0</v>
      </c>
      <c r="G27" s="33">
        <v>1.0</v>
      </c>
      <c r="H27" s="51">
        <f>IFERROR(F27*G27,0)</f>
        <v>40.0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152418.0</v>
      </c>
      <c r="K27" s="53">
        <f>IFERROR(J27/'Tasas de Cambio'!$C$5,0)</f>
        <v>50806.0</v>
      </c>
      <c r="L27" s="54" t="s">
        <v>123</v>
      </c>
      <c r="M27" s="1" t="s">
        <v>374</v>
      </c>
    </row>
    <row r="28" ht="18.0" customHeight="1">
      <c r="A28" s="29" t="s">
        <v>59</v>
      </c>
      <c r="B28" s="29" t="s">
        <v>171</v>
      </c>
      <c r="C28" s="30">
        <v>46513.0</v>
      </c>
      <c r="D28" s="32" t="s">
        <v>172</v>
      </c>
      <c r="E28" s="33" t="s">
        <v>12</v>
      </c>
      <c r="F28" s="34">
        <v>15.0</v>
      </c>
      <c r="G28" s="33">
        <v>3.0</v>
      </c>
      <c r="H28" s="51">
        <f t="shared" si="1"/>
        <v>45</v>
      </c>
      <c r="I28" s="51">
        <f t="array" ref="I28">IFERROR(INDEX('Tasas de Cambio'!$E$11:$E$15,MATCH(E28,'Tasas de Cambio'!$B$11:$B$15,0)),0)</f>
        <v>3810.45</v>
      </c>
      <c r="J28" s="52">
        <f t="shared" si="2"/>
        <v>171470.25</v>
      </c>
      <c r="K28" s="53">
        <f>IFERROR(J28/'Tasas de Cambio'!$C$5,0)</f>
        <v>57156.75</v>
      </c>
      <c r="L28" s="5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29" t="s">
        <v>11</v>
      </c>
      <c r="B29" s="29" t="s">
        <v>209</v>
      </c>
      <c r="C29" s="30" t="s">
        <v>210</v>
      </c>
      <c r="D29" s="32" t="s">
        <v>406</v>
      </c>
      <c r="E29" s="33" t="s">
        <v>12</v>
      </c>
      <c r="F29" s="34">
        <v>25.0</v>
      </c>
      <c r="G29" s="33">
        <v>3.0</v>
      </c>
      <c r="H29" s="51">
        <f>IFERROR(F29*G29,0)</f>
        <v>75.0</v>
      </c>
      <c r="I29" s="51">
        <f t="array" ref="I29">IFERROR(INDEX('Tasas de Cambio'!$E$11:$E$15,MATCH(E29,'Tasas de Cambio'!$B$11:$B$15,0)),0)</f>
        <v>3810.45</v>
      </c>
      <c r="J29" s="52">
        <f>IFERROR(H29*I29,0)</f>
        <v>285783.75</v>
      </c>
      <c r="K29" s="53">
        <f>IFERROR(J29/'Tasas de Cambio'!$C$5,0)</f>
        <v>95261.25</v>
      </c>
      <c r="L29" s="54" t="s">
        <v>408</v>
      </c>
      <c r="M29" s="1" t="s">
        <v>374</v>
      </c>
    </row>
    <row r="30" ht="18.0" customHeight="1">
      <c r="A30" s="29" t="s">
        <v>59</v>
      </c>
      <c r="B30" s="29" t="s">
        <v>171</v>
      </c>
      <c r="C30" s="30">
        <v>46514.0</v>
      </c>
      <c r="D30" s="32" t="s">
        <v>176</v>
      </c>
      <c r="E30" s="33" t="s">
        <v>12</v>
      </c>
      <c r="F30" s="34">
        <v>30.0</v>
      </c>
      <c r="G30" s="33">
        <v>3.0</v>
      </c>
      <c r="H30" s="51">
        <f t="shared" si="1"/>
        <v>90</v>
      </c>
      <c r="I30" s="51">
        <f t="array" ref="I30">IFERROR(INDEX('Tasas de Cambio'!$E$11:$E$15,MATCH(E30,'Tasas de Cambio'!$B$11:$B$15,0)),0)</f>
        <v>3810.45</v>
      </c>
      <c r="J30" s="52">
        <f t="shared" si="2"/>
        <v>342940.5</v>
      </c>
      <c r="K30" s="53">
        <f>IFERROR(J30/'Tasas de Cambio'!$C$5,0)</f>
        <v>114313.5</v>
      </c>
      <c r="L30" s="54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171</v>
      </c>
      <c r="C31" s="30" t="s">
        <v>410</v>
      </c>
      <c r="D31" s="32" t="s">
        <v>174</v>
      </c>
      <c r="E31" s="33" t="s">
        <v>12</v>
      </c>
      <c r="F31" s="34">
        <v>12.0</v>
      </c>
      <c r="G31" s="33">
        <v>3.0</v>
      </c>
      <c r="H31" s="51">
        <f>IFERROR(F31*G31,0)</f>
        <v>36.0</v>
      </c>
      <c r="I31" s="51">
        <f t="array" ref="I31">IFERROR(INDEX('Tasas de Cambio'!$E$11:$E$15,MATCH(E31,'Tasas de Cambio'!$B$11:$B$15,0)),0)</f>
        <v>3810.45</v>
      </c>
      <c r="J31" s="52">
        <f>IFERROR(H31*I31,0)</f>
        <v>137176.19999999998</v>
      </c>
      <c r="K31" s="53">
        <f>IFERROR(J31/'Tasas de Cambio'!$C$5,0)</f>
        <v>45725.399999999994</v>
      </c>
      <c r="L31" s="54" t="s">
        <v>123</v>
      </c>
      <c r="M31" s="1" t="s">
        <v>374</v>
      </c>
    </row>
    <row r="32" ht="18.0" customHeight="1">
      <c r="A32" s="29" t="s">
        <v>54</v>
      </c>
      <c r="B32" s="29" t="s">
        <v>182</v>
      </c>
      <c r="C32" s="30" t="s">
        <v>183</v>
      </c>
      <c r="D32" s="32" t="s">
        <v>184</v>
      </c>
      <c r="E32" s="33" t="s">
        <v>97</v>
      </c>
      <c r="F32" s="34">
        <v>670.0</v>
      </c>
      <c r="G32" s="33">
        <v>3.0</v>
      </c>
      <c r="H32" s="51">
        <f>IFERROR(F32*G32,0)</f>
        <v>2010.0</v>
      </c>
      <c r="I32" s="51">
        <f t="array" ref="I32">IFERROR(INDEX('Tasas de Cambio'!$E$11:$E$15,MATCH(E32,'Tasas de Cambio'!$B$11:$B$15,0)),0)</f>
        <v>3270.75</v>
      </c>
      <c r="J32" s="52">
        <f>IFERROR(H32*I32,0)</f>
        <v>6574207.5</v>
      </c>
      <c r="K32" s="53">
        <f>IFERROR(J32/'Tasas de Cambio'!$C$5,0)</f>
        <v>2191402.5</v>
      </c>
      <c r="L32" s="54" t="s">
        <v>385</v>
      </c>
      <c r="M32" s="1" t="s">
        <v>374</v>
      </c>
    </row>
    <row r="33" ht="15.75" customHeight="1">
      <c r="A33" s="29" t="s">
        <v>14</v>
      </c>
      <c r="B33" s="29" t="s">
        <v>159</v>
      </c>
      <c r="C33" s="30">
        <v>46515.0</v>
      </c>
      <c r="D33" s="32" t="s">
        <v>180</v>
      </c>
      <c r="E33" s="33" t="s">
        <v>12</v>
      </c>
      <c r="F33" s="34">
        <v>30.0</v>
      </c>
      <c r="G33" s="33">
        <v>1.0</v>
      </c>
      <c r="H33" s="51">
        <f t="shared" si="1"/>
        <v>30</v>
      </c>
      <c r="I33" s="51">
        <f t="array" ref="I33">IFERROR(INDEX('Tasas de Cambio'!$E$11:$E$15,MATCH(E33,'Tasas de Cambio'!$B$11:$B$15,0)),0)</f>
        <v>3810.45</v>
      </c>
      <c r="J33" s="52">
        <f t="shared" si="2"/>
        <v>114313.5</v>
      </c>
      <c r="K33" s="53">
        <f>IFERROR(J33/'Tasas de Cambio'!$C$5,0)</f>
        <v>38104.5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0" customHeight="1">
      <c r="A34" s="29" t="s">
        <v>57</v>
      </c>
      <c r="B34" s="29" t="s">
        <v>171</v>
      </c>
      <c r="C34" s="30">
        <v>46515.0</v>
      </c>
      <c r="D34" s="32" t="s">
        <v>326</v>
      </c>
      <c r="E34" s="33" t="s">
        <v>12</v>
      </c>
      <c r="F34" s="34">
        <v>0.0</v>
      </c>
      <c r="G34" s="33">
        <v>3.0</v>
      </c>
      <c r="H34" s="51">
        <f t="shared" si="1"/>
        <v>0</v>
      </c>
      <c r="I34" s="51">
        <f t="array" ref="I34">IFERROR(INDEX('Tasas de Cambio'!$E$11:$E$15,MATCH(E34,'Tasas de Cambio'!$B$11:$B$15,0)),0)</f>
        <v>3810.45</v>
      </c>
      <c r="J34" s="52">
        <f t="shared" si="2"/>
        <v>0.0</v>
      </c>
      <c r="K34" s="53">
        <f>IFERROR(J34/'Tasas de Cambio'!$C$5,0)</f>
        <v>0.0</v>
      </c>
      <c r="L34" s="54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30.0" customHeight="1">
      <c r="A35" s="29" t="s">
        <v>59</v>
      </c>
      <c r="B35" s="29" t="s">
        <v>171</v>
      </c>
      <c r="C35" s="30">
        <v>46515.0</v>
      </c>
      <c r="D35" s="32" t="s">
        <v>189</v>
      </c>
      <c r="E35" s="33" t="s">
        <v>12</v>
      </c>
      <c r="F35" s="34">
        <v>10.0</v>
      </c>
      <c r="G35" s="33">
        <v>3.0</v>
      </c>
      <c r="H35" s="51">
        <f t="shared" si="1"/>
        <v>30</v>
      </c>
      <c r="I35" s="51">
        <f t="array" ref="I35">IFERROR(INDEX('Tasas de Cambio'!$E$11:$E$15,MATCH(E35,'Tasas de Cambio'!$B$11:$B$15,0)),0)</f>
        <v>3810.45</v>
      </c>
      <c r="J35" s="52">
        <f t="shared" si="2"/>
        <v>114313.5</v>
      </c>
      <c r="K35" s="53">
        <f>IFERROR(J35/'Tasas de Cambio'!$C$5,0)</f>
        <v>38104.5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57</v>
      </c>
      <c r="B36" s="29" t="s">
        <v>327</v>
      </c>
      <c r="C36" s="30">
        <v>46516.0</v>
      </c>
      <c r="D36" s="32" t="s">
        <v>326</v>
      </c>
      <c r="E36" s="33" t="s">
        <v>12</v>
      </c>
      <c r="F36" s="34">
        <v>0.0</v>
      </c>
      <c r="G36" s="33">
        <v>3.0</v>
      </c>
      <c r="H36" s="51">
        <f t="shared" si="1"/>
        <v>0</v>
      </c>
      <c r="I36" s="51">
        <f t="array" ref="I36">IFERROR(INDEX('Tasas de Cambio'!$E$11:$E$15,MATCH(E36,'Tasas de Cambio'!$B$11:$B$15,0)),0)</f>
        <v>3810.45</v>
      </c>
      <c r="J36" s="52">
        <f t="shared" si="2"/>
        <v>0.0</v>
      </c>
      <c r="K36" s="53">
        <f>IFERROR(J36/'Tasas de Cambio'!$C$5,0)</f>
        <v>0.0</v>
      </c>
      <c r="L36" s="54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30.0" customHeight="1">
      <c r="A37" s="29" t="s">
        <v>57</v>
      </c>
      <c r="B37" s="29" t="s">
        <v>194</v>
      </c>
      <c r="C37" s="30" t="s">
        <v>393</v>
      </c>
      <c r="D37" s="32" t="s">
        <v>391</v>
      </c>
      <c r="E37" s="33" t="s">
        <v>97</v>
      </c>
      <c r="F37" s="34">
        <v>70.0</v>
      </c>
      <c r="G37" s="33">
        <v>3.0</v>
      </c>
      <c r="H37" s="51">
        <f>IFERROR(F37*G37,0)</f>
        <v>210.0</v>
      </c>
      <c r="I37" s="51">
        <f t="array" ref="I37">IFERROR(INDEX('Tasas de Cambio'!$E$11:$E$15,MATCH(E37,'Tasas de Cambio'!$B$11:$B$15,0)),0)</f>
        <v>3270.75</v>
      </c>
      <c r="J37" s="52">
        <f>IFERROR(H37*I37,0)</f>
        <v>686857.5</v>
      </c>
      <c r="K37" s="53">
        <f>IFERROR(J37/'Tasas de Cambio'!$C$5,0)</f>
        <v>228952.5</v>
      </c>
      <c r="L37" s="54" t="s">
        <v>396</v>
      </c>
      <c r="M37" s="1" t="s">
        <v>374</v>
      </c>
    </row>
    <row r="38" ht="30.0" customHeight="1">
      <c r="A38" s="29" t="s">
        <v>59</v>
      </c>
      <c r="B38" s="29" t="s">
        <v>194</v>
      </c>
      <c r="C38" s="30">
        <v>46517.0</v>
      </c>
      <c r="D38" s="32" t="s">
        <v>197</v>
      </c>
      <c r="E38" s="33" t="s">
        <v>12</v>
      </c>
      <c r="F38" s="34">
        <v>25.0</v>
      </c>
      <c r="G38" s="33">
        <v>3.0</v>
      </c>
      <c r="H38" s="51">
        <f t="shared" si="1"/>
        <v>75</v>
      </c>
      <c r="I38" s="51">
        <f t="array" ref="I38">IFERROR(INDEX('Tasas de Cambio'!$E$11:$E$15,MATCH(E38,'Tasas de Cambio'!$B$11:$B$15,0)),0)</f>
        <v>3810.45</v>
      </c>
      <c r="J38" s="52">
        <f t="shared" si="2"/>
        <v>285783.75</v>
      </c>
      <c r="K38" s="53">
        <f>IFERROR(J38/'Tasas de Cambio'!$C$5,0)</f>
        <v>95261.25</v>
      </c>
      <c r="L38" s="54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30.0" customHeight="1">
      <c r="A39" s="29" t="s">
        <v>57</v>
      </c>
      <c r="B39" s="29" t="s">
        <v>198</v>
      </c>
      <c r="C39" s="30" t="s">
        <v>394</v>
      </c>
      <c r="D39" s="32" t="s">
        <v>395</v>
      </c>
      <c r="E39" s="33" t="s">
        <v>97</v>
      </c>
      <c r="F39" s="34">
        <v>120.0</v>
      </c>
      <c r="G39" s="33">
        <v>3.0</v>
      </c>
      <c r="H39" s="51">
        <f>IFERROR(F39*G39,0)</f>
        <v>360.0</v>
      </c>
      <c r="I39" s="51">
        <f t="array" ref="I39">IFERROR(INDEX('Tasas de Cambio'!$E$11:$E$15,MATCH(E39,'Tasas de Cambio'!$B$11:$B$15,0)),0)</f>
        <v>3270.75</v>
      </c>
      <c r="J39" s="52">
        <f>IFERROR(H39*I39,0)</f>
        <v>1177470.0</v>
      </c>
      <c r="K39" s="53">
        <f>IFERROR(J39/'Tasas de Cambio'!$C$5,0)</f>
        <v>392490.0</v>
      </c>
      <c r="L39" s="54" t="s">
        <v>397</v>
      </c>
      <c r="M39" s="1" t="s">
        <v>374</v>
      </c>
    </row>
    <row r="40" ht="30.0" customHeight="1">
      <c r="A40" s="29" t="s">
        <v>59</v>
      </c>
      <c r="B40" s="29" t="s">
        <v>198</v>
      </c>
      <c r="C40" s="30">
        <v>46518.0</v>
      </c>
      <c r="D40" s="32" t="s">
        <v>197</v>
      </c>
      <c r="E40" s="33" t="s">
        <v>12</v>
      </c>
      <c r="F40" s="34">
        <v>25.0</v>
      </c>
      <c r="G40" s="33">
        <v>3.0</v>
      </c>
      <c r="H40" s="51">
        <f t="shared" si="1"/>
        <v>75</v>
      </c>
      <c r="I40" s="51">
        <f t="array" ref="I40">IFERROR(INDEX('Tasas de Cambio'!$E$11:$E$15,MATCH(E40,'Tasas de Cambio'!$B$11:$B$15,0)),0)</f>
        <v>3810.45</v>
      </c>
      <c r="J40" s="52">
        <f t="shared" si="2"/>
        <v>285783.75</v>
      </c>
      <c r="K40" s="53">
        <f>IFERROR(J40/'Tasas de Cambio'!$C$5,0)</f>
        <v>95261.25</v>
      </c>
      <c r="L40" s="54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30.0" customHeight="1">
      <c r="A41" s="29" t="s">
        <v>57</v>
      </c>
      <c r="B41" s="29" t="s">
        <v>201</v>
      </c>
      <c r="C41" s="30" t="s">
        <v>389</v>
      </c>
      <c r="D41" s="32" t="s">
        <v>203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123</v>
      </c>
      <c r="M41" s="1" t="s">
        <v>374</v>
      </c>
    </row>
    <row r="42" ht="30.0" customHeight="1">
      <c r="A42" s="29" t="s">
        <v>59</v>
      </c>
      <c r="B42" s="29" t="s">
        <v>201</v>
      </c>
      <c r="C42" s="30" t="s">
        <v>389</v>
      </c>
      <c r="D42" s="32" t="s">
        <v>204</v>
      </c>
      <c r="E42" s="33" t="s">
        <v>12</v>
      </c>
      <c r="F42" s="34">
        <v>0.0</v>
      </c>
      <c r="G42" s="33">
        <v>3.0</v>
      </c>
      <c r="H42" s="51">
        <f>IFERROR(F42*G42,0)</f>
        <v>0.0</v>
      </c>
      <c r="I42" s="51">
        <f t="array" ref="I42">IFERROR(INDEX('Tasas de Cambio'!$E$11:$E$15,MATCH(E42,'Tasas de Cambio'!$B$11:$B$15,0)),0)</f>
        <v>3810.45</v>
      </c>
      <c r="J42" s="52">
        <f>IFERROR(H42*I42,0)</f>
        <v>0.0</v>
      </c>
      <c r="K42" s="53">
        <f>IFERROR(J42/'Tasas de Cambio'!$C$5,0)</f>
        <v>0.0</v>
      </c>
      <c r="L42" s="54" t="s">
        <v>388</v>
      </c>
      <c r="M42" s="1" t="s">
        <v>374</v>
      </c>
    </row>
    <row r="43" ht="30.0" customHeight="1">
      <c r="A43" s="29" t="s">
        <v>57</v>
      </c>
      <c r="B43" s="29" t="s">
        <v>327</v>
      </c>
      <c r="C43" s="30">
        <v>46520.0</v>
      </c>
      <c r="D43" s="32" t="s">
        <v>326</v>
      </c>
      <c r="E43" s="33" t="s">
        <v>37</v>
      </c>
      <c r="F43" s="34">
        <v>0.0</v>
      </c>
      <c r="G43" s="33">
        <v>3.0</v>
      </c>
      <c r="H43" s="51">
        <f t="shared" si="1"/>
        <v>0</v>
      </c>
      <c r="I43" s="51">
        <f t="array" ref="I43">IFERROR(INDEX('Tasas de Cambio'!$E$11:$E$15,MATCH(E43,'Tasas de Cambio'!$B$11:$B$15,0)),0)</f>
        <v>157.82</v>
      </c>
      <c r="J43" s="52">
        <f t="shared" si="2"/>
        <v>0.0</v>
      </c>
      <c r="K43" s="53">
        <f>IFERROR(J43/'Tasas de Cambio'!$C$5,0)</f>
        <v>0.0</v>
      </c>
      <c r="L43" s="54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30.0" customHeight="1">
      <c r="A44" s="29" t="s">
        <v>14</v>
      </c>
      <c r="B44" s="29" t="s">
        <v>206</v>
      </c>
      <c r="C44" s="30">
        <v>46521.0</v>
      </c>
      <c r="D44" s="32" t="s">
        <v>331</v>
      </c>
      <c r="E44" s="33" t="s">
        <v>12</v>
      </c>
      <c r="F44" s="34">
        <v>10.0</v>
      </c>
      <c r="G44" s="33">
        <v>3.0</v>
      </c>
      <c r="H44" s="51">
        <f t="shared" si="1"/>
        <v>30</v>
      </c>
      <c r="I44" s="51">
        <f t="array" ref="I44">IFERROR(INDEX('Tasas de Cambio'!$E$11:$E$15,MATCH(E44,'Tasas de Cambio'!$B$11:$B$15,0)),0)</f>
        <v>3810.45</v>
      </c>
      <c r="J44" s="52">
        <f t="shared" si="2"/>
        <v>114313.5</v>
      </c>
      <c r="K44" s="53">
        <f>IFERROR(J44/'Tasas de Cambio'!$C$5,0)</f>
        <v>38104.5</v>
      </c>
      <c r="L44" s="5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30.0" customHeight="1">
      <c r="A45" s="29" t="s">
        <v>59</v>
      </c>
      <c r="B45" s="29" t="s">
        <v>206</v>
      </c>
      <c r="C45" s="30" t="s">
        <v>390</v>
      </c>
      <c r="D45" s="32" t="s">
        <v>204</v>
      </c>
      <c r="E45" s="33" t="s">
        <v>12</v>
      </c>
      <c r="F45" s="34">
        <v>0.0</v>
      </c>
      <c r="G45" s="33">
        <v>3.0</v>
      </c>
      <c r="H45" s="51">
        <f>IFERROR(F45*G45,0)</f>
        <v>0.0</v>
      </c>
      <c r="I45" s="51">
        <f t="array" ref="I45">IFERROR(INDEX('Tasas de Cambio'!$E$11:$E$15,MATCH(E45,'Tasas de Cambio'!$B$11:$B$15,0)),0)</f>
        <v>3810.45</v>
      </c>
      <c r="J45" s="52">
        <f>IFERROR(H45*I45,0)</f>
        <v>0.0</v>
      </c>
      <c r="K45" s="53">
        <f>IFERROR(J45/'Tasas de Cambio'!$C$5,0)</f>
        <v>0.0</v>
      </c>
      <c r="L45" s="54" t="s">
        <v>388</v>
      </c>
      <c r="M45" s="1" t="s">
        <v>374</v>
      </c>
    </row>
    <row r="46" ht="30.0" customHeight="1">
      <c r="A46" s="29" t="s">
        <v>36</v>
      </c>
      <c r="B46" s="29" t="s">
        <v>212</v>
      </c>
      <c r="C46" s="30" t="s">
        <v>213</v>
      </c>
      <c r="D46" s="32" t="s">
        <v>399</v>
      </c>
      <c r="E46" s="33" t="s">
        <v>12</v>
      </c>
      <c r="F46" s="34">
        <v>400.0</v>
      </c>
      <c r="G46" s="33">
        <v>1.0</v>
      </c>
      <c r="H46" s="51">
        <f>IFERROR(F46*G46,0)</f>
        <v>400.0</v>
      </c>
      <c r="I46" s="51">
        <f t="array" ref="I46">IFERROR(INDEX('Tasas de Cambio'!$E$11:$E$15,MATCH(E46,'Tasas de Cambio'!$B$11:$B$15,0)),0)</f>
        <v>3810.45</v>
      </c>
      <c r="J46" s="52">
        <f>IFERROR(H46*I46,0)</f>
        <v>1524180.0</v>
      </c>
      <c r="K46" s="53">
        <f>IFERROR(J46/'Tasas de Cambio'!$C$5,0)</f>
        <v>508060.0</v>
      </c>
      <c r="L46" s="54" t="s">
        <v>123</v>
      </c>
      <c r="M46" s="1" t="s">
        <v>374</v>
      </c>
    </row>
    <row r="47" ht="30.0" customHeight="1">
      <c r="A47" s="29" t="s">
        <v>14</v>
      </c>
      <c r="B47" s="29" t="s">
        <v>209</v>
      </c>
      <c r="C47" s="30" t="s">
        <v>405</v>
      </c>
      <c r="D47" s="32" t="s">
        <v>404</v>
      </c>
      <c r="E47" s="33" t="s">
        <v>12</v>
      </c>
      <c r="F47" s="34">
        <v>12.0</v>
      </c>
      <c r="G47" s="33">
        <v>3.0</v>
      </c>
      <c r="H47" s="51">
        <f>IFERROR(F47*G47,0)</f>
        <v>36.0</v>
      </c>
      <c r="I47" s="51">
        <f t="array" ref="I47">IFERROR(INDEX('Tasas de Cambio'!$E$11:$E$15,MATCH(E47,'Tasas de Cambio'!$B$11:$B$15,0)),0)</f>
        <v>3810.45</v>
      </c>
      <c r="J47" s="52">
        <f>IFERROR(H47*I47,0)</f>
        <v>137176.19999999998</v>
      </c>
      <c r="K47" s="53">
        <f>IFERROR(J47/'Tasas de Cambio'!$C$5,0)</f>
        <v>45725.399999999994</v>
      </c>
      <c r="L47" s="54" t="s">
        <v>123</v>
      </c>
      <c r="M47" s="1" t="s">
        <v>374</v>
      </c>
    </row>
    <row r="48" ht="30.0" customHeight="1">
      <c r="A48" s="29" t="s">
        <v>59</v>
      </c>
      <c r="B48" s="29" t="s">
        <v>215</v>
      </c>
      <c r="C48" s="30">
        <v>46522.0</v>
      </c>
      <c r="D48" s="32" t="s">
        <v>216</v>
      </c>
      <c r="E48" s="33" t="s">
        <v>12</v>
      </c>
      <c r="F48" s="34">
        <v>30.0</v>
      </c>
      <c r="G48" s="33">
        <v>3.0</v>
      </c>
      <c r="H48" s="51">
        <f t="shared" si="1"/>
        <v>90</v>
      </c>
      <c r="I48" s="51">
        <f t="array" ref="I48">IFERROR(INDEX('Tasas de Cambio'!$E$11:$E$15,MATCH(E48,'Tasas de Cambio'!$B$11:$B$15,0)),0)</f>
        <v>3810.45</v>
      </c>
      <c r="J48" s="52">
        <f t="shared" si="2"/>
        <v>342940.5</v>
      </c>
      <c r="K48" s="53">
        <f>IFERROR(J48/'Tasas de Cambio'!$C$5,0)</f>
        <v>114313.5</v>
      </c>
      <c r="L48" s="54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0" customHeight="1">
      <c r="A49" s="29" t="s">
        <v>11</v>
      </c>
      <c r="B49" s="29" t="s">
        <v>334</v>
      </c>
      <c r="C49" s="30">
        <v>46523.0</v>
      </c>
      <c r="D49" s="32" t="s">
        <v>335</v>
      </c>
      <c r="E49" s="33" t="s">
        <v>55</v>
      </c>
      <c r="F49" s="34">
        <v>1435635.0</v>
      </c>
      <c r="G49" s="33">
        <v>3.0</v>
      </c>
      <c r="H49" s="51">
        <f t="shared" si="1"/>
        <v>4306905</v>
      </c>
      <c r="I49" s="51">
        <f t="array" ref="I49">IFERROR(INDEX('Tasas de Cambio'!$E$11:$E$15,MATCH(E49,'Tasas de Cambio'!$B$11:$B$15,0)),0)</f>
        <v>1</v>
      </c>
      <c r="J49" s="52">
        <f t="shared" si="2"/>
        <v>4306905</v>
      </c>
      <c r="K49" s="53">
        <f>IFERROR(J49/'Tasas de Cambio'!$C$5,0)</f>
        <v>1435635</v>
      </c>
      <c r="L49" s="54" t="s">
        <v>359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30.0" customHeight="1">
      <c r="A50" s="29" t="s">
        <v>14</v>
      </c>
      <c r="B50" s="29" t="s">
        <v>209</v>
      </c>
      <c r="C50" s="30">
        <v>46523.0</v>
      </c>
      <c r="D50" s="32" t="s">
        <v>337</v>
      </c>
      <c r="E50" s="33" t="s">
        <v>12</v>
      </c>
      <c r="F50" s="34">
        <v>30.0</v>
      </c>
      <c r="G50" s="33">
        <v>1.0</v>
      </c>
      <c r="H50" s="51">
        <f t="shared" si="1"/>
        <v>30</v>
      </c>
      <c r="I50" s="51">
        <f t="array" ref="I50">IFERROR(INDEX('Tasas de Cambio'!$E$11:$E$15,MATCH(E50,'Tasas de Cambio'!$B$11:$B$15,0)),0)</f>
        <v>3810.45</v>
      </c>
      <c r="J50" s="52">
        <f t="shared" si="2"/>
        <v>114313.5</v>
      </c>
      <c r="K50" s="53">
        <f>IFERROR(J50/'Tasas de Cambio'!$C$5,0)</f>
        <v>38104.5</v>
      </c>
      <c r="L50" s="54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30.0" customHeight="1">
      <c r="A51" s="29" t="s">
        <v>57</v>
      </c>
      <c r="B51" s="29" t="s">
        <v>228</v>
      </c>
      <c r="C51" s="30" t="s">
        <v>210</v>
      </c>
      <c r="D51" s="32" t="s">
        <v>400</v>
      </c>
      <c r="E51" s="33" t="s">
        <v>12</v>
      </c>
      <c r="F51" s="34">
        <v>10.0</v>
      </c>
      <c r="G51" s="33">
        <v>3.0</v>
      </c>
      <c r="H51" s="51">
        <f>IFERROR(F51*G51,0)</f>
        <v>30.0</v>
      </c>
      <c r="I51" s="51">
        <f t="array" ref="I51">IFERROR(INDEX('Tasas de Cambio'!$E$11:$E$15,MATCH(E51,'Tasas de Cambio'!$B$11:$B$15,0)),0)</f>
        <v>3810.45</v>
      </c>
      <c r="J51" s="52">
        <f>IFERROR(H51*I51,0)</f>
        <v>114313.5</v>
      </c>
      <c r="K51" s="53">
        <f>IFERROR(J51/'Tasas de Cambio'!$C$5,0)</f>
        <v>38104.5</v>
      </c>
      <c r="L51" s="54" t="s">
        <v>401</v>
      </c>
      <c r="M51" s="1" t="s">
        <v>374</v>
      </c>
    </row>
    <row r="52" ht="30.0" customHeight="1">
      <c r="A52" s="29" t="s">
        <v>59</v>
      </c>
      <c r="B52" s="29" t="s">
        <v>228</v>
      </c>
      <c r="C52" s="30">
        <v>46523.0</v>
      </c>
      <c r="D52" s="32" t="s">
        <v>230</v>
      </c>
      <c r="E52" s="33" t="s">
        <v>12</v>
      </c>
      <c r="F52" s="34">
        <v>25.0</v>
      </c>
      <c r="G52" s="33">
        <v>3.0</v>
      </c>
      <c r="H52" s="51">
        <f t="shared" si="1"/>
        <v>75</v>
      </c>
      <c r="I52" s="51">
        <f t="array" ref="I52">IFERROR(INDEX('Tasas de Cambio'!$E$11:$E$15,MATCH(E52,'Tasas de Cambio'!$B$11:$B$15,0)),0)</f>
        <v>3810.45</v>
      </c>
      <c r="J52" s="52">
        <f t="shared" si="2"/>
        <v>285783.75</v>
      </c>
      <c r="K52" s="53">
        <f>IFERROR(J52/'Tasas de Cambio'!$C$5,0)</f>
        <v>95261.25</v>
      </c>
      <c r="L52" s="54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29"/>
      <c r="B53" s="29"/>
      <c r="C53" s="30"/>
      <c r="D53" s="32"/>
      <c r="E53" s="33"/>
      <c r="F53" s="34"/>
      <c r="G53" s="33"/>
      <c r="H53" s="51"/>
      <c r="I53" s="51"/>
      <c r="J53" s="52"/>
      <c r="K53" s="53"/>
      <c r="L53" s="5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29"/>
      <c r="B54" s="29"/>
      <c r="C54" s="30"/>
      <c r="D54" s="66" t="s">
        <v>177</v>
      </c>
      <c r="E54" s="33"/>
      <c r="F54" s="34"/>
      <c r="G54" s="33"/>
      <c r="H54" s="51"/>
      <c r="I54" s="51"/>
      <c r="J54" s="67">
        <f t="shared" ref="J54:K54" si="3">SUM(J5:J52)</f>
        <v>37314741.9</v>
      </c>
      <c r="K54" s="67">
        <f t="shared" si="3"/>
        <v>12438247.3</v>
      </c>
      <c r="L54" s="54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0.0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30.0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30.0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30.0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30.0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30.0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4.0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printOptions/>
  <pageMargins bottom="0.4" footer="0.0" header="0.0" left="0.3" right="0.3" top="0.4"/>
  <pageSetup fitToHeight="0"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SUMIF('Opción 4 (Múnich)'!$A:$A,B7,'Opción 4 (Múnich)'!$J:$J)</f>
        <v>10380005.05</v>
      </c>
      <c r="D7" s="57">
        <f>IFERROR(C7/'Tasas de Cambio'!$E$14,0)</f>
        <v>3225.356963</v>
      </c>
      <c r="E7" s="58">
        <f t="shared" ref="E7:E14" si="1">IFERROR(C7/$C$15,0)</f>
        <v>0.2781743761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SUMIF('Opción 4 (Múnich)'!$A:$A,B8,'Opción 4 (Múnich)'!$J:$J)</f>
        <v>1804038.6</v>
      </c>
      <c r="D8" s="57">
        <f>IFERROR(C8/'Tasas de Cambio'!$E$14,0)</f>
        <v>560.5650897</v>
      </c>
      <c r="E8" s="58">
        <f t="shared" si="1"/>
        <v>0.04834653835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SUMIF('Opción 4 (Múnich)'!$A:$A,B9,'Opción 4 (Múnich)'!$J:$J)</f>
        <v>5888442</v>
      </c>
      <c r="D9" s="57">
        <f>IFERROR(C9/'Tasas de Cambio'!$E$14,0)</f>
        <v>1829.7031</v>
      </c>
      <c r="E9" s="58">
        <f t="shared" si="1"/>
        <v>0.1578047094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SUMIF('Opción 4 (Múnich)'!$A:$A,B10,'Opción 4 (Múnich)'!$J:$J)</f>
        <v>6468682.5</v>
      </c>
      <c r="D10" s="57">
        <f>IFERROR(C10/'Tasas de Cambio'!$E$14,0)</f>
        <v>2010</v>
      </c>
      <c r="E10" s="58">
        <f t="shared" si="1"/>
        <v>0.1733546092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SUMIF('Opción 4 (Múnich)'!$A:$A,B11,'Opción 4 (Múnich)'!$J:$J)</f>
        <v>6322613.75</v>
      </c>
      <c r="D11" s="57">
        <f>IFERROR(C11/'Tasas de Cambio'!$E$14,0)</f>
        <v>1964.612367</v>
      </c>
      <c r="E11" s="58">
        <f t="shared" si="1"/>
        <v>0.1694401041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SUMIF('Opción 4 (Múnich)'!$A:$A,B12,'Opción 4 (Múnich)'!$J:$J)</f>
        <v>3600576</v>
      </c>
      <c r="D12" s="57">
        <f>IFERROR(C12/'Tasas de Cambio'!$E$14,0)</f>
        <v>1118.799347</v>
      </c>
      <c r="E12" s="58">
        <f t="shared" si="1"/>
        <v>0.09649205159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SUMIF('Opción 4 (Múnich)'!$A:$A,B13,'Opción 4 (Múnich)'!$J:$J)</f>
        <v>450000</v>
      </c>
      <c r="D13" s="57">
        <f>IFERROR(C13/'Tasas de Cambio'!$E$14,0)</f>
        <v>139.827546</v>
      </c>
      <c r="E13" s="58">
        <f t="shared" si="1"/>
        <v>0.01205957692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SUMIF('Opción 4 (Múnich)'!$A:$A,B14,'Opción 4 (Múnich)'!$J:$J)</f>
        <v>2400384</v>
      </c>
      <c r="D14" s="57">
        <f>IFERROR(C14/'Tasas de Cambio'!$E$14,0)</f>
        <v>745.8662316</v>
      </c>
      <c r="E14" s="58">
        <f t="shared" si="1"/>
        <v>0.06432803439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37314741.9</v>
      </c>
      <c r="D15" s="60">
        <f t="shared" si="2"/>
        <v>11594.73064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12438247.3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3864.910215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IFERROR(C19/16,0)</f>
        <v>777390.4562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40.0</v>
      </c>
      <c r="G5" s="33">
        <v>1.0</v>
      </c>
      <c r="H5" s="51">
        <f t="shared" ref="H5:H33" si="1">IFERROR(F5*G5,0)</f>
        <v>40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130830.0</v>
      </c>
      <c r="K5" s="53">
        <f>IFERROR(J5/'Tasas de Cambio'!$C$5,0)</f>
        <v>43610.0</v>
      </c>
      <c r="L5" s="54" t="s">
        <v>370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3.0</v>
      </c>
      <c r="H6" s="51">
        <f t="shared" si="1"/>
        <v>600</v>
      </c>
      <c r="I6" s="51">
        <f t="array" ref="I6">IFERROR(INDEX('Tasas de Cambio'!$E$11:$E$15,MATCH(E6,'Tasas de Cambio'!$B$11:$B$15,0)),0)</f>
        <v>3810.45</v>
      </c>
      <c r="J6" s="52">
        <f t="shared" si="2"/>
        <v>2286270.0</v>
      </c>
      <c r="K6" s="53">
        <f>IFERROR(J6/'Tasas de Cambio'!$C$5,0)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3.0</v>
      </c>
      <c r="H7" s="51">
        <f>IFERROR(F7*G7,0)</f>
        <v>665955.0</v>
      </c>
      <c r="I7" s="51">
        <f t="array" ref="I7">IFERROR(INDEX('Tasas de Cambio'!$E$11:$E$15,MATCH(E7,'Tasas de Cambio'!$B$11:$B$15,0)),0)</f>
        <v>1.0</v>
      </c>
      <c r="J7" s="52">
        <f>IFERROR(H7*I7,0)</f>
        <v>665955.0</v>
      </c>
      <c r="K7" s="53">
        <f>IFERROR(J7/'Tasas de Cambio'!$C$5,0)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3.0</v>
      </c>
      <c r="H8" s="51">
        <f t="shared" si="1"/>
        <v>4473210</v>
      </c>
      <c r="I8" s="51">
        <f t="array" ref="I8">IFERROR(INDEX('Tasas de Cambio'!$E$11:$E$15,MATCH(E8,'Tasas de Cambio'!$B$11:$B$15,0)),0)</f>
        <v>1</v>
      </c>
      <c r="J8" s="52">
        <f t="shared" si="2"/>
        <v>4473210</v>
      </c>
      <c r="K8" s="53">
        <f>IFERROR(J8/'Tasas de Cambio'!$C$5,0)</f>
        <v>1491070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1900000.0</v>
      </c>
      <c r="G9" s="33">
        <v>1.0</v>
      </c>
      <c r="H9" s="51">
        <f>IFERROR(F9*G9,0)</f>
        <v>1900000.0</v>
      </c>
      <c r="I9" s="51">
        <f t="array" ref="I9">IFERROR(INDEX('Tasas de Cambio'!$E$11:$E$15,MATCH(E9,'Tasas de Cambio'!$B$11:$B$15,0)),0)</f>
        <v>1.0</v>
      </c>
      <c r="J9" s="52">
        <f>IFERROR(H9*I9,0)</f>
        <v>1900000.0</v>
      </c>
      <c r="K9" s="53">
        <f>IFERROR(J9/'Tasas de Cambio'!$C$5,0)</f>
        <v>633333.3333333334</v>
      </c>
      <c r="L9" s="54" t="s">
        <v>380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40.0</v>
      </c>
      <c r="G10" s="33">
        <v>1.0</v>
      </c>
      <c r="H10" s="51">
        <f>IFERROR(F10*G10,0)</f>
        <v>40.0</v>
      </c>
      <c r="I10" s="51">
        <f t="array" ref="I10">IFERROR(INDEX('Tasas de Cambio'!$E$11:$E$15,MATCH(E10,'Tasas de Cambio'!$B$11:$B$15,0)),0)</f>
        <v>3810.45</v>
      </c>
      <c r="J10" s="52">
        <f>IFERROR(H10*I10,0)</f>
        <v>152418.0</v>
      </c>
      <c r="K10" s="53">
        <f>IFERROR(J10/'Tasas de Cambio'!$C$5,0)</f>
        <v>50806.0</v>
      </c>
      <c r="L10" s="54" t="s">
        <v>123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3.0</v>
      </c>
      <c r="H11" s="51">
        <f t="shared" si="1"/>
        <v>45</v>
      </c>
      <c r="I11" s="51">
        <f t="array" ref="I11">IFERROR(INDEX('Tasas de Cambio'!$E$11:$E$15,MATCH(E11,'Tasas de Cambio'!$B$11:$B$15,0)),0)</f>
        <v>3810.45</v>
      </c>
      <c r="J11" s="52">
        <f t="shared" si="2"/>
        <v>171470.25</v>
      </c>
      <c r="K11" s="53">
        <f>IFERROR(J11/'Tasas de Cambio'!$C$5,0)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3.0</v>
      </c>
      <c r="H12" s="51">
        <f>IFERROR(F12*G12,0)</f>
        <v>30.0</v>
      </c>
      <c r="I12" s="51">
        <f t="array" ref="I12">IFERROR(INDEX('Tasas de Cambio'!$E$11:$E$15,MATCH(E12,'Tasas de Cambio'!$B$11:$B$15,0)),0)</f>
        <v>3270.75</v>
      </c>
      <c r="J12" s="52">
        <f>IFERROR(H12*I12,0)</f>
        <v>98122.5</v>
      </c>
      <c r="K12" s="53">
        <f>IFERROR(J12/'Tasas de Cambio'!$C$5,0)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3.0</v>
      </c>
      <c r="H13" s="51">
        <f t="shared" si="1"/>
        <v>90</v>
      </c>
      <c r="I13" s="51">
        <f t="array" ref="I13">IFERROR(INDEX('Tasas de Cambio'!$E$11:$E$15,MATCH(E13,'Tasas de Cambio'!$B$11:$B$15,0)),0)</f>
        <v>3810.45</v>
      </c>
      <c r="J13" s="52">
        <f t="shared" si="2"/>
        <v>342940.5</v>
      </c>
      <c r="K13" s="53">
        <f>IFERROR(J13/'Tasas de Cambio'!$C$5,0)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3.0</v>
      </c>
      <c r="H14" s="51">
        <f>IFERROR(F14*G14,0)</f>
        <v>36.0</v>
      </c>
      <c r="I14" s="51">
        <f t="array" ref="I14">IFERROR(INDEX('Tasas de Cambio'!$E$11:$E$15,MATCH(E14,'Tasas de Cambio'!$B$11:$B$15,0)),0)</f>
        <v>3810.45</v>
      </c>
      <c r="J14" s="52">
        <f>IFERROR(H14*I14,0)</f>
        <v>137176.19999999998</v>
      </c>
      <c r="K14" s="53">
        <f>IFERROR(J14/'Tasas de Cambio'!$C$5,0)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670.0</v>
      </c>
      <c r="G15" s="33">
        <v>3.0</v>
      </c>
      <c r="H15" s="51">
        <f>IFERROR(F15*G15,0)</f>
        <v>2010.0</v>
      </c>
      <c r="I15" s="51">
        <f t="array" ref="I15">IFERROR(INDEX('Tasas de Cambio'!$E$11:$E$15,MATCH(E15,'Tasas de Cambio'!$B$11:$B$15,0)),0)</f>
        <v>3270.75</v>
      </c>
      <c r="J15" s="52">
        <f>IFERROR(H15*I15,0)</f>
        <v>6574207.5</v>
      </c>
      <c r="K15" s="53">
        <f>IFERROR(J15/'Tasas de Cambio'!$C$5,0)</f>
        <v>2191402.5</v>
      </c>
      <c r="L15" s="54" t="s">
        <v>385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30.0</v>
      </c>
      <c r="G16" s="33">
        <v>1.0</v>
      </c>
      <c r="H16" s="51">
        <f t="shared" si="1"/>
        <v>30</v>
      </c>
      <c r="I16" s="51">
        <f t="array" ref="I16">IFERROR(INDEX('Tasas de Cambio'!$E$11:$E$15,MATCH(E16,'Tasas de Cambio'!$B$11:$B$15,0)),0)</f>
        <v>3810.45</v>
      </c>
      <c r="J16" s="52">
        <f t="shared" si="2"/>
        <v>114313.5</v>
      </c>
      <c r="K16" s="53">
        <f>IFERROR(J16/'Tasas de Cambio'!$C$5,0)</f>
        <v>38104.5</v>
      </c>
      <c r="L16" s="54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3.0</v>
      </c>
      <c r="H18" s="51">
        <f t="shared" si="1"/>
        <v>30</v>
      </c>
      <c r="I18" s="51">
        <f t="array" ref="I18">IFERROR(INDEX('Tasas de Cambio'!$E$11:$E$15,MATCH(E18,'Tasas de Cambio'!$B$11:$B$15,0)),0)</f>
        <v>3810.45</v>
      </c>
      <c r="J18" s="52">
        <f t="shared" si="2"/>
        <v>114313.5</v>
      </c>
      <c r="K18" s="53">
        <f>IFERROR(J18/'Tasas de Cambio'!$C$5,0)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3.0</v>
      </c>
      <c r="H20" s="51">
        <f>IFERROR(F20*G20,0)</f>
        <v>210.0</v>
      </c>
      <c r="I20" s="51">
        <f t="array" ref="I20">IFERROR(INDEX('Tasas de Cambio'!$E$11:$E$15,MATCH(E20,'Tasas de Cambio'!$B$11:$B$15,0)),0)</f>
        <v>3270.75</v>
      </c>
      <c r="J20" s="52">
        <f>IFERROR(H20*I20,0)</f>
        <v>686857.5</v>
      </c>
      <c r="K20" s="53">
        <f>IFERROR(J20/'Tasas de Cambio'!$C$5,0)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3.0</v>
      </c>
      <c r="H21" s="51">
        <f t="shared" si="1"/>
        <v>75</v>
      </c>
      <c r="I21" s="51">
        <f t="array" ref="I21">IFERROR(INDEX('Tasas de Cambio'!$E$11:$E$15,MATCH(E21,'Tasas de Cambio'!$B$11:$B$15,0)),0)</f>
        <v>3810.45</v>
      </c>
      <c r="J21" s="52">
        <f t="shared" si="2"/>
        <v>285783.75</v>
      </c>
      <c r="K21" s="53">
        <f>IFERROR(J21/'Tasas de Cambio'!$C$5,0)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3.0</v>
      </c>
      <c r="H22" s="51">
        <f>IFERROR(F22*G22,0)</f>
        <v>360.0</v>
      </c>
      <c r="I22" s="51">
        <f t="array" ref="I22">IFERROR(INDEX('Tasas de Cambio'!$E$11:$E$15,MATCH(E22,'Tasas de Cambio'!$B$11:$B$15,0)),0)</f>
        <v>3270.75</v>
      </c>
      <c r="J22" s="52">
        <f>IFERROR(H22*I22,0)</f>
        <v>1177470.0</v>
      </c>
      <c r="K22" s="53">
        <f>IFERROR(J22/'Tasas de Cambio'!$C$5,0)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3.0</v>
      </c>
      <c r="H23" s="51">
        <f t="shared" si="1"/>
        <v>75</v>
      </c>
      <c r="I23" s="51">
        <f t="array" ref="I23">IFERROR(INDEX('Tasas de Cambio'!$E$11:$E$15,MATCH(E23,'Tasas de Cambio'!$B$11:$B$15,0)),0)</f>
        <v>3810.45</v>
      </c>
      <c r="J23" s="52">
        <f t="shared" si="2"/>
        <v>285783.75</v>
      </c>
      <c r="K23" s="53">
        <f>IFERROR(J23/'Tasas de Cambio'!$C$5,0)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3.0</v>
      </c>
      <c r="H26" s="51">
        <f t="shared" si="1"/>
        <v>30</v>
      </c>
      <c r="I26" s="51">
        <f t="array" ref="I26">IFERROR(INDEX('Tasas de Cambio'!$E$11:$E$15,MATCH(E26,'Tasas de Cambio'!$B$11:$B$15,0)),0)</f>
        <v>3810.45</v>
      </c>
      <c r="J26" s="52">
        <f t="shared" si="2"/>
        <v>114313.5</v>
      </c>
      <c r="K26" s="53">
        <f>IFERROR(J26/'Tasas de Cambio'!$C$5,0)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400.0</v>
      </c>
      <c r="G27" s="33">
        <v>1.0</v>
      </c>
      <c r="H27" s="51">
        <f>IFERROR(F27*G27,0)</f>
        <v>400.0</v>
      </c>
      <c r="I27" s="51">
        <f t="array" ref="I27">IFERROR(INDEX('Tasas de Cambio'!$E$11:$E$15,MATCH(E27,'Tasas de Cambio'!$B$11:$B$15,0)),0)</f>
        <v>3810.45</v>
      </c>
      <c r="J27" s="52">
        <f>IFERROR(H27*I27,0)</f>
        <v>1524180.0</v>
      </c>
      <c r="K27" s="53">
        <f>IFERROR(J27/'Tasas de Cambio'!$C$5,0)</f>
        <v>508060.0</v>
      </c>
      <c r="L27" s="54" t="s">
        <v>123</v>
      </c>
      <c r="M27" s="1" t="s">
        <v>374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3.0</v>
      </c>
      <c r="H28" s="51">
        <f>IFERROR(F28*G28,0)</f>
        <v>36.0</v>
      </c>
      <c r="I28" s="51">
        <f t="array" ref="I28">IFERROR(INDEX('Tasas de Cambio'!$E$11:$E$15,MATCH(E28,'Tasas de Cambio'!$B$11:$B$15,0)),0)</f>
        <v>3810.45</v>
      </c>
      <c r="J28" s="52">
        <f>IFERROR(H28*I28,0)</f>
        <v>137176.19999999998</v>
      </c>
      <c r="K28" s="53">
        <f>IFERROR(J28/'Tasas de Cambio'!$C$5,0)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3.0</v>
      </c>
      <c r="H29" s="51">
        <f t="shared" si="1"/>
        <v>90</v>
      </c>
      <c r="I29" s="51">
        <f t="array" ref="I29">IFERROR(INDEX('Tasas de Cambio'!$E$11:$E$15,MATCH(E29,'Tasas de Cambio'!$B$11:$B$15,0)),0)</f>
        <v>3810.45</v>
      </c>
      <c r="J29" s="52">
        <f t="shared" si="2"/>
        <v>342940.5</v>
      </c>
      <c r="K29" s="53">
        <f>IFERROR(J29/'Tasas de Cambio'!$C$5,0)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3.0</v>
      </c>
      <c r="H30" s="51">
        <f t="shared" si="1"/>
        <v>4473210</v>
      </c>
      <c r="I30" s="51">
        <f t="array" ref="I30">IFERROR(INDEX('Tasas de Cambio'!$E$11:$E$15,MATCH(E30,'Tasas de Cambio'!$B$11:$B$15,0)),0)</f>
        <v>1</v>
      </c>
      <c r="J30" s="52">
        <f t="shared" si="2"/>
        <v>4473210</v>
      </c>
      <c r="K30" s="53">
        <f>IFERROR(J30/'Tasas de Cambio'!$C$5,0)</f>
        <v>1491070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30.0</v>
      </c>
      <c r="G31" s="33">
        <v>1.0</v>
      </c>
      <c r="H31" s="51">
        <f t="shared" si="1"/>
        <v>30</v>
      </c>
      <c r="I31" s="51">
        <f t="array" ref="I31">IFERROR(INDEX('Tasas de Cambio'!$E$11:$E$15,MATCH(E31,'Tasas de Cambio'!$B$11:$B$15,0)),0)</f>
        <v>3810.45</v>
      </c>
      <c r="J31" s="52">
        <f t="shared" si="2"/>
        <v>114313.5</v>
      </c>
      <c r="K31" s="53">
        <f>IFERROR(J31/'Tasas de Cambio'!$C$5,0)</f>
        <v>38104.5</v>
      </c>
      <c r="L31" s="54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3.0</v>
      </c>
      <c r="H32" s="51">
        <f>IFERROR(F32*G32,0)</f>
        <v>30.0</v>
      </c>
      <c r="I32" s="51">
        <f t="array" ref="I32">IFERROR(INDEX('Tasas de Cambio'!$E$11:$E$15,MATCH(E32,'Tasas de Cambio'!$B$11:$B$15,0)),0)</f>
        <v>3810.45</v>
      </c>
      <c r="J32" s="52">
        <f>IFERROR(H32*I32,0)</f>
        <v>114313.5</v>
      </c>
      <c r="K32" s="53">
        <f>IFERROR(J32/'Tasas de Cambio'!$C$5,0)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3.0</v>
      </c>
      <c r="H33" s="51">
        <f t="shared" si="1"/>
        <v>75</v>
      </c>
      <c r="I33" s="51">
        <f t="array" ref="I33">IFERROR(INDEX('Tasas de Cambio'!$E$11:$E$15,MATCH(E33,'Tasas de Cambio'!$B$11:$B$15,0)),0)</f>
        <v>3810.45</v>
      </c>
      <c r="J33" s="52">
        <f t="shared" si="2"/>
        <v>285783.75</v>
      </c>
      <c r="K33" s="53">
        <f>IFERROR(J33/'Tasas de Cambio'!$C$5,0)</f>
        <v>95261.25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3.0</v>
      </c>
      <c r="H34" s="51">
        <f>IFERROR(F34*G34,0)</f>
        <v>30.0</v>
      </c>
      <c r="I34" s="51">
        <f t="array" ref="I34">IFERROR(INDEX('Tasas de Cambio'!$E$11:$E$15,MATCH(E34,'Tasas de Cambio'!$B$11:$B$15,0)),0)</f>
        <v>3270.75</v>
      </c>
      <c r="J34" s="52">
        <f>IFERROR(H34*I34,0)</f>
        <v>98122.5</v>
      </c>
      <c r="K34" s="53">
        <f>IFERROR(J34/'Tasas de Cambio'!$C$5,0)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3.0</v>
      </c>
      <c r="H38" s="51">
        <f>IFERROR(F38*G38,0)</f>
        <v>75.0</v>
      </c>
      <c r="I38" s="51">
        <f t="array" ref="I38">IFERROR(INDEX('Tasas de Cambio'!$E$11:$E$15,MATCH(E38,'Tasas de Cambio'!$B$11:$B$15,0)),0)</f>
        <v>3810.45</v>
      </c>
      <c r="J38" s="52">
        <f>IFERROR(H38*I38,0)</f>
        <v>285783.75</v>
      </c>
      <c r="K38" s="53">
        <f>IFERROR(J38/'Tasas de Cambio'!$C$5,0)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3.0</v>
      </c>
      <c r="H39" s="51">
        <f>IFERROR(F39*G39,0)</f>
        <v>75.0</v>
      </c>
      <c r="I39" s="51">
        <f t="array" ref="I39">IFERROR(INDEX('Tasas de Cambio'!$E$11:$E$15,MATCH(E39,'Tasas de Cambio'!$B$11:$B$15,0)),0)</f>
        <v>3810.45</v>
      </c>
      <c r="J39" s="52">
        <f>IFERROR(H39*I39,0)</f>
        <v>285783.75</v>
      </c>
      <c r="K39" s="53">
        <f>IFERROR(J39/'Tasas de Cambio'!$C$5,0)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5" width="20.0"/>
    <col customWidth="1" min="6" max="6" width="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1"/>
      <c r="B2" s="55" t="s">
        <v>161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56" t="s">
        <v>368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15" t="s">
        <v>163</v>
      </c>
      <c r="C5" s="17"/>
      <c r="D5" s="17"/>
      <c r="E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4.0" customHeight="1">
      <c r="A6" s="1"/>
      <c r="B6" s="12" t="s">
        <v>22</v>
      </c>
      <c r="C6" s="12" t="s">
        <v>167</v>
      </c>
      <c r="D6" s="12" t="s">
        <v>168</v>
      </c>
      <c r="E6" s="12" t="s">
        <v>169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1" t="s">
        <v>11</v>
      </c>
      <c r="C7" s="57">
        <f>SUMIF(Crucero!$A:$A,B7,Crucero!$J:$J)</f>
        <v>8840310</v>
      </c>
      <c r="D7" s="57">
        <f>IFERROR(C7/'Tasas de Cambio'!$E$14,0)</f>
        <v>2746.930785</v>
      </c>
      <c r="E7" s="58">
        <f t="shared" ref="E7:E14" si="1">IFERROR(C7/$C$15,0)</f>
        <v>0.3295718278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1" t="s">
        <v>14</v>
      </c>
      <c r="C8" s="57">
        <f>SUMIF(Crucero!$A:$A,B8,Crucero!$J:$J)</f>
        <v>1241448.6</v>
      </c>
      <c r="D8" s="57">
        <f>IFERROR(C8/'Tasas de Cambio'!$E$14,0)</f>
        <v>385.7526917</v>
      </c>
      <c r="E8" s="58">
        <f t="shared" si="1"/>
        <v>0.04628191594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1" t="s">
        <v>36</v>
      </c>
      <c r="C9" s="57">
        <f>SUMIF(Crucero!$A:$A,B9,Crucero!$J:$J)</f>
        <v>3450552</v>
      </c>
      <c r="D9" s="57">
        <f>IFERROR(C9/'Tasas de Cambio'!$E$14,0)</f>
        <v>1072.182708</v>
      </c>
      <c r="E9" s="58">
        <f t="shared" si="1"/>
        <v>0.1286385579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1" t="s">
        <v>54</v>
      </c>
      <c r="C10" s="57">
        <f>SUMIF(Crucero!$A:$A,B10,Crucero!$J:$J)</f>
        <v>6468682.5</v>
      </c>
      <c r="D10" s="57">
        <f>IFERROR(C10/'Tasas de Cambio'!$E$14,0)</f>
        <v>2010</v>
      </c>
      <c r="E10" s="58">
        <f t="shared" si="1"/>
        <v>0.2411561942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1" t="s">
        <v>57</v>
      </c>
      <c r="C11" s="57">
        <f>SUMIF(Crucero!$A:$A,B11,Crucero!$J:$J)</f>
        <v>2171956.5</v>
      </c>
      <c r="D11" s="57">
        <f>IFERROR(C11/'Tasas de Cambio'!$E$14,0)</f>
        <v>674.8874388</v>
      </c>
      <c r="E11" s="58">
        <f t="shared" si="1"/>
        <v>0.08097178421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1" t="s">
        <v>59</v>
      </c>
      <c r="C12" s="57">
        <f>SUMIF(Crucero!$A:$A,B12,Crucero!$J:$J)</f>
        <v>1800288</v>
      </c>
      <c r="D12" s="57">
        <f>IFERROR(C12/'Tasas de Cambio'!$E$14,0)</f>
        <v>559.3996737</v>
      </c>
      <c r="E12" s="58">
        <f t="shared" si="1"/>
        <v>0.06711576933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1" t="s">
        <v>48</v>
      </c>
      <c r="C13" s="57">
        <f>SUMIF(Crucero!$A:$A,B13,Crucero!$J:$J)</f>
        <v>450000</v>
      </c>
      <c r="D13" s="57">
        <f>IFERROR(C13/'Tasas de Cambio'!$E$14,0)</f>
        <v>139.827546</v>
      </c>
      <c r="E13" s="58">
        <f t="shared" si="1"/>
        <v>0.01677625813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1" t="s">
        <v>64</v>
      </c>
      <c r="C14" s="57">
        <f>SUMIF(Crucero!$A:$A,B14,Crucero!$J:$J)</f>
        <v>2400384</v>
      </c>
      <c r="D14" s="57">
        <f>IFERROR(C14/'Tasas de Cambio'!$E$14,0)</f>
        <v>745.8662316</v>
      </c>
      <c r="E14" s="58">
        <f t="shared" si="1"/>
        <v>0.08948769244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9.5" customHeight="1">
      <c r="A15" s="1"/>
      <c r="B15" s="59" t="s">
        <v>177</v>
      </c>
      <c r="C15" s="60">
        <f t="shared" ref="C15:D15" si="2">SUM(C7:C14)</f>
        <v>26823621.6</v>
      </c>
      <c r="D15" s="60">
        <f t="shared" si="2"/>
        <v>8334.847075</v>
      </c>
      <c r="E15" s="6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5" t="s">
        <v>178</v>
      </c>
      <c r="C17" s="17"/>
      <c r="D17" s="17"/>
      <c r="E17" s="20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0" t="s">
        <v>44</v>
      </c>
      <c r="C18" s="31">
        <f>'Tasas de Cambio'!$C$5</f>
        <v>3</v>
      </c>
      <c r="D18" s="41"/>
      <c r="E18" s="4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40" t="s">
        <v>78</v>
      </c>
      <c r="C19" s="62">
        <f>IFERROR($C$15/'Tasas de Cambio'!$C$5,0)</f>
        <v>8941207.2</v>
      </c>
      <c r="D19" s="41"/>
      <c r="E19" s="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40" t="s">
        <v>79</v>
      </c>
      <c r="C20" s="62">
        <f>IFERROR($D$15/'Tasas de Cambio'!$C$5,0)</f>
        <v>2778.282358</v>
      </c>
      <c r="D20" s="41"/>
      <c r="E20" s="4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1" t="s">
        <v>181</v>
      </c>
      <c r="C21" s="63">
        <f>IFERROR(C19/11,0)</f>
        <v>812837.0182</v>
      </c>
      <c r="D21" s="41"/>
      <c r="E21" s="4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9.5" customHeight="1">
      <c r="A23" s="1"/>
      <c r="B23" s="15" t="s">
        <v>185</v>
      </c>
      <c r="C23" s="17"/>
      <c r="D23" s="17"/>
      <c r="E23" s="20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1"/>
      <c r="B24" s="12" t="s">
        <v>27</v>
      </c>
      <c r="C24" s="12" t="s">
        <v>186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1" t="str">
        <f>'Tasas de Cambio'!$B$11</f>
        <v>EUR</v>
      </c>
      <c r="C25" s="64">
        <f>'Tasas de Cambio'!$E$11</f>
        <v>3750.6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1" t="str">
        <f>'Tasas de Cambio'!$B$12</f>
        <v>CHF</v>
      </c>
      <c r="C26" s="64">
        <f>'Tasas de Cambio'!$E$12</f>
        <v>4053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41" t="str">
        <f>'Tasas de Cambio'!$B$13</f>
        <v>CZK</v>
      </c>
      <c r="C27" s="64">
        <f>'Tasas de Cambio'!$E$13</f>
        <v>155.82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41" t="str">
        <f>'Tasas de Cambio'!$B$14</f>
        <v>USD</v>
      </c>
      <c r="C28" s="64">
        <f>'Tasas de Cambio'!$E$14</f>
        <v>3218.25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41" t="str">
        <f>'Tasas de Cambio'!$B$15</f>
        <v>COP</v>
      </c>
      <c r="C29" s="64">
        <f>'Tasas de Cambio'!$E$15</f>
        <v>1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65" t="s">
        <v>190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B2:E2"/>
    <mergeCell ref="B3:E3"/>
    <mergeCell ref="B5:E5"/>
    <mergeCell ref="B17:E17"/>
    <mergeCell ref="B23:E23"/>
    <mergeCell ref="B31:E32"/>
  </mergeCells>
  <printOptions/>
  <pageMargins bottom="0.4" footer="0.0" header="0.0" left="0.3" right="0.3" top="0.4"/>
  <pageSetup fitToHeight="0"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71"/>
    <col customWidth="1" min="2" max="2" width="18.57"/>
    <col customWidth="1" min="3" max="3" width="29.0"/>
    <col customWidth="1" min="4" max="4" width="33.86"/>
    <col customWidth="1" min="5" max="5" width="7.71"/>
    <col customWidth="1" min="6" max="6" width="12.43"/>
    <col customWidth="1" min="7" max="7" width="8.14"/>
    <col customWidth="1" min="8" max="8" width="9.86"/>
    <col customWidth="1" min="9" max="9" width="8.57"/>
    <col customWidth="1" min="10" max="10" width="11.57"/>
    <col customWidth="1" min="11" max="11" width="12.43"/>
    <col customWidth="1" min="12" max="12" width="19.57"/>
    <col customWidth="1" min="13" max="14" width="8.71"/>
    <col customWidth="1" hidden="1" min="15" max="16" width="13.0"/>
  </cols>
  <sheetData>
    <row r="1" ht="15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5.5" customHeight="1">
      <c r="A2" s="6" t="s">
        <v>361</v>
      </c>
      <c r="M2" s="1"/>
      <c r="N2" s="1"/>
      <c r="O2" s="1" t="s">
        <v>11</v>
      </c>
      <c r="P2" s="1" t="s">
        <v>12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 t="s">
        <v>14</v>
      </c>
      <c r="P3" s="1" t="s">
        <v>17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 ht="34.5" customHeight="1">
      <c r="A4" s="12" t="s">
        <v>22</v>
      </c>
      <c r="B4" s="12" t="s">
        <v>25</v>
      </c>
      <c r="C4" s="12" t="s">
        <v>20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 t="s">
        <v>32</v>
      </c>
      <c r="J4" s="12" t="s">
        <v>33</v>
      </c>
      <c r="K4" s="12" t="s">
        <v>34</v>
      </c>
      <c r="L4" s="12" t="s">
        <v>35</v>
      </c>
      <c r="M4" s="1" t="s">
        <v>373</v>
      </c>
      <c r="N4" s="1"/>
      <c r="O4" s="1" t="s">
        <v>36</v>
      </c>
      <c r="P4" s="1" t="s">
        <v>37</v>
      </c>
      <c r="Q4" s="1"/>
      <c r="R4" s="1"/>
      <c r="S4" s="1"/>
      <c r="T4" s="1"/>
      <c r="U4" s="1"/>
      <c r="V4" s="1"/>
      <c r="W4" s="1"/>
      <c r="X4" s="1"/>
      <c r="Y4" s="1"/>
      <c r="Z4" s="1"/>
    </row>
    <row r="5" ht="18.0" customHeight="1">
      <c r="A5" s="29" t="s">
        <v>64</v>
      </c>
      <c r="B5" s="29" t="s">
        <v>117</v>
      </c>
      <c r="C5" s="30" t="s">
        <v>121</v>
      </c>
      <c r="D5" s="32" t="s">
        <v>122</v>
      </c>
      <c r="E5" s="33" t="s">
        <v>97</v>
      </c>
      <c r="F5" s="34">
        <v>0.0</v>
      </c>
      <c r="G5" s="33">
        <v>1.0</v>
      </c>
      <c r="H5" s="51">
        <f t="shared" ref="H5:H33" si="1">IFERROR(F5*G5,0)</f>
        <v>0</v>
      </c>
      <c r="I5" s="51">
        <f t="array" ref="I5">IFERROR(INDEX('Tasas de Cambio'!$E$11:$E$15,MATCH(E5,'Tasas de Cambio'!$B$11:$B$15,0)),0)</f>
        <v>3270.75</v>
      </c>
      <c r="J5" s="52">
        <f t="shared" ref="J5:J33" si="2">IFERROR(H5*I5,0)</f>
        <v>0.0</v>
      </c>
      <c r="K5" s="53">
        <f>IFERROR(J5/2,0)</f>
        <v>0.0</v>
      </c>
      <c r="L5" s="54" t="s">
        <v>411</v>
      </c>
      <c r="M5" s="1" t="s">
        <v>374</v>
      </c>
      <c r="N5" s="1"/>
      <c r="O5" s="1" t="s">
        <v>54</v>
      </c>
      <c r="P5" s="1" t="s">
        <v>97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30.0" customHeight="1">
      <c r="A6" s="29" t="s">
        <v>64</v>
      </c>
      <c r="B6" s="29" t="s">
        <v>117</v>
      </c>
      <c r="C6" s="30" t="s">
        <v>118</v>
      </c>
      <c r="D6" s="32" t="s">
        <v>119</v>
      </c>
      <c r="E6" s="33" t="s">
        <v>12</v>
      </c>
      <c r="F6" s="34">
        <v>200.0</v>
      </c>
      <c r="G6" s="33">
        <v>2.0</v>
      </c>
      <c r="H6" s="51">
        <f t="shared" si="1"/>
        <v>400.0</v>
      </c>
      <c r="I6" s="51">
        <f t="array" ref="I6">IFERROR(INDEX('Tasas de Cambio'!$E$11:$E$15,MATCH(E6,'Tasas de Cambio'!$B$11:$B$15,0)),0)</f>
        <v>3810.45</v>
      </c>
      <c r="J6" s="52">
        <f t="shared" si="2"/>
        <v>1524180.0</v>
      </c>
      <c r="K6" s="53">
        <f>IFERROR(J6/2,0)</f>
        <v>762090.0</v>
      </c>
      <c r="L6" s="54"/>
      <c r="M6" s="1"/>
      <c r="N6" s="1"/>
      <c r="O6" s="1" t="s">
        <v>57</v>
      </c>
      <c r="P6" s="1" t="s">
        <v>55</v>
      </c>
      <c r="Q6" s="1"/>
      <c r="R6" s="1"/>
      <c r="S6" s="1"/>
      <c r="T6" s="1"/>
      <c r="U6" s="1"/>
      <c r="V6" s="1"/>
      <c r="W6" s="1"/>
      <c r="X6" s="1"/>
      <c r="Y6" s="1"/>
      <c r="Z6" s="1"/>
    </row>
    <row r="7" ht="30.0" customHeight="1">
      <c r="A7" s="29" t="s">
        <v>48</v>
      </c>
      <c r="B7" s="29" t="s">
        <v>49</v>
      </c>
      <c r="C7" s="30" t="s">
        <v>362</v>
      </c>
      <c r="D7" s="32" t="s">
        <v>376</v>
      </c>
      <c r="E7" s="33" t="s">
        <v>55</v>
      </c>
      <c r="F7" s="34">
        <v>221985.0</v>
      </c>
      <c r="G7" s="33">
        <v>2.0</v>
      </c>
      <c r="H7" s="51">
        <f>IFERROR(F7*G7,0)</f>
        <v>443970.0</v>
      </c>
      <c r="I7" s="51">
        <f t="array" ref="I7">IFERROR(INDEX('Tasas de Cambio'!$E$11:$E$15,MATCH(E7,'Tasas de Cambio'!$B$11:$B$15,0)),0)</f>
        <v>1.0</v>
      </c>
      <c r="J7" s="52">
        <f>IFERROR(H7*I7,0)</f>
        <v>443970.0</v>
      </c>
      <c r="K7" s="53">
        <f>IFERROR(J7/2,0)</f>
        <v>221985.0</v>
      </c>
      <c r="L7" s="54" t="s">
        <v>375</v>
      </c>
      <c r="M7" s="1" t="s">
        <v>374</v>
      </c>
    </row>
    <row r="8" ht="18.0" customHeight="1">
      <c r="A8" s="29" t="s">
        <v>11</v>
      </c>
      <c r="B8" s="29" t="s">
        <v>363</v>
      </c>
      <c r="C8" s="30">
        <v>46512.0</v>
      </c>
      <c r="D8" s="32" t="s">
        <v>364</v>
      </c>
      <c r="E8" s="33" t="s">
        <v>55</v>
      </c>
      <c r="F8" s="34">
        <v>1491070.0</v>
      </c>
      <c r="G8" s="33">
        <v>2.0</v>
      </c>
      <c r="H8" s="51">
        <f t="shared" si="1"/>
        <v>2982140.0</v>
      </c>
      <c r="I8" s="51">
        <f t="array" ref="I8">IFERROR(INDEX('Tasas de Cambio'!$E$11:$E$15,MATCH(E8,'Tasas de Cambio'!$B$11:$B$15,0)),0)</f>
        <v>1</v>
      </c>
      <c r="J8" s="52">
        <f t="shared" si="2"/>
        <v>2982140.0</v>
      </c>
      <c r="K8" s="53">
        <f>IFERROR(J8/2,0)</f>
        <v>1491070.0</v>
      </c>
      <c r="L8" s="54" t="s">
        <v>365</v>
      </c>
      <c r="M8" s="1" t="s">
        <v>374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29" t="s">
        <v>36</v>
      </c>
      <c r="B9" s="29" t="s">
        <v>164</v>
      </c>
      <c r="C9" s="30" t="s">
        <v>165</v>
      </c>
      <c r="D9" s="32" t="s">
        <v>379</v>
      </c>
      <c r="E9" s="33" t="s">
        <v>55</v>
      </c>
      <c r="F9" s="34">
        <v>0.0</v>
      </c>
      <c r="G9" s="33">
        <v>1.0</v>
      </c>
      <c r="H9" s="51">
        <f>IFERROR(F9*G9,0)</f>
        <v>0</v>
      </c>
      <c r="I9" s="51">
        <f t="array" ref="I9">IFERROR(INDEX('Tasas de Cambio'!$E$11:$E$15,MATCH(E9,'Tasas de Cambio'!$B$11:$B$15,0)),0)</f>
        <v>1.0</v>
      </c>
      <c r="J9" s="52">
        <f>IFERROR(H9*I9,0)</f>
        <v>0</v>
      </c>
      <c r="K9" s="53">
        <f>IFERROR(J9/2,0)</f>
        <v>0</v>
      </c>
      <c r="L9" s="54" t="s">
        <v>411</v>
      </c>
      <c r="M9" s="1" t="s">
        <v>374</v>
      </c>
    </row>
    <row r="10" ht="18.0" customHeight="1">
      <c r="A10" s="29" t="s">
        <v>14</v>
      </c>
      <c r="B10" s="29" t="s">
        <v>159</v>
      </c>
      <c r="C10" s="30" t="s">
        <v>409</v>
      </c>
      <c r="D10" s="32" t="s">
        <v>160</v>
      </c>
      <c r="E10" s="33" t="s">
        <v>12</v>
      </c>
      <c r="F10" s="34">
        <v>0.0</v>
      </c>
      <c r="G10" s="33">
        <v>1.0</v>
      </c>
      <c r="H10" s="51">
        <f>IFERROR(F10*G10,0)</f>
        <v>0</v>
      </c>
      <c r="I10" s="51">
        <f t="array" ref="I10">IFERROR(INDEX('Tasas de Cambio'!$E$11:$E$15,MATCH(E10,'Tasas de Cambio'!$B$11:$B$15,0)),0)</f>
        <v>3810.45</v>
      </c>
      <c r="J10" s="52">
        <f>IFERROR(H10*I10,0)</f>
        <v>0.0</v>
      </c>
      <c r="K10" s="53">
        <f>IFERROR(J10/2,0)</f>
        <v>0.0</v>
      </c>
      <c r="L10" s="54" t="s">
        <v>411</v>
      </c>
      <c r="M10" s="1" t="s">
        <v>374</v>
      </c>
    </row>
    <row r="11" ht="30.0" customHeight="1">
      <c r="A11" s="29" t="s">
        <v>59</v>
      </c>
      <c r="B11" s="29" t="s">
        <v>171</v>
      </c>
      <c r="C11" s="30">
        <v>46513.0</v>
      </c>
      <c r="D11" s="32" t="s">
        <v>172</v>
      </c>
      <c r="E11" s="33" t="s">
        <v>12</v>
      </c>
      <c r="F11" s="34">
        <v>15.0</v>
      </c>
      <c r="G11" s="33">
        <v>2.0</v>
      </c>
      <c r="H11" s="51">
        <f t="shared" si="1"/>
        <v>30.0</v>
      </c>
      <c r="I11" s="51">
        <f t="array" ref="I11">IFERROR(INDEX('Tasas de Cambio'!$E$11:$E$15,MATCH(E11,'Tasas de Cambio'!$B$11:$B$15,0)),0)</f>
        <v>3810.45</v>
      </c>
      <c r="J11" s="52">
        <f t="shared" si="2"/>
        <v>114313.5</v>
      </c>
      <c r="K11" s="53">
        <f>IFERROR(J11/2,0)</f>
        <v>57156.75</v>
      </c>
      <c r="L11" s="54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29" t="s">
        <v>57</v>
      </c>
      <c r="B12" s="29" t="s">
        <v>171</v>
      </c>
      <c r="C12" s="30" t="s">
        <v>173</v>
      </c>
      <c r="D12" s="32" t="s">
        <v>381</v>
      </c>
      <c r="E12" s="33" t="s">
        <v>97</v>
      </c>
      <c r="F12" s="34">
        <v>10.0</v>
      </c>
      <c r="G12" s="33">
        <v>2.0</v>
      </c>
      <c r="H12" s="51">
        <f>IFERROR(F12*G12,0)</f>
        <v>20.0</v>
      </c>
      <c r="I12" s="51">
        <f t="array" ref="I12">IFERROR(INDEX('Tasas de Cambio'!$E$11:$E$15,MATCH(E12,'Tasas de Cambio'!$B$11:$B$15,0)),0)</f>
        <v>3270.75</v>
      </c>
      <c r="J12" s="52">
        <f>IFERROR(H12*I12,0)</f>
        <v>65415.0</v>
      </c>
      <c r="K12" s="53">
        <f>IFERROR(J12/2,0)</f>
        <v>32707.5</v>
      </c>
      <c r="L12" s="54" t="s">
        <v>382</v>
      </c>
      <c r="M12" s="1" t="s">
        <v>374</v>
      </c>
    </row>
    <row r="13" ht="30.0" customHeight="1">
      <c r="A13" s="29" t="s">
        <v>59</v>
      </c>
      <c r="B13" s="29" t="s">
        <v>171</v>
      </c>
      <c r="C13" s="30">
        <v>46514.0</v>
      </c>
      <c r="D13" s="32" t="s">
        <v>176</v>
      </c>
      <c r="E13" s="33" t="s">
        <v>12</v>
      </c>
      <c r="F13" s="34">
        <v>30.0</v>
      </c>
      <c r="G13" s="33">
        <v>2.0</v>
      </c>
      <c r="H13" s="51">
        <f t="shared" si="1"/>
        <v>60.0</v>
      </c>
      <c r="I13" s="51">
        <f t="array" ref="I13">IFERROR(INDEX('Tasas de Cambio'!$E$11:$E$15,MATCH(E13,'Tasas de Cambio'!$B$11:$B$15,0)),0)</f>
        <v>3810.45</v>
      </c>
      <c r="J13" s="52">
        <f t="shared" si="2"/>
        <v>228627.0</v>
      </c>
      <c r="K13" s="53">
        <f>IFERROR(J13/2,0)</f>
        <v>114313.5</v>
      </c>
      <c r="L13" s="54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29" t="s">
        <v>14</v>
      </c>
      <c r="B14" s="29" t="s">
        <v>171</v>
      </c>
      <c r="C14" s="30" t="s">
        <v>410</v>
      </c>
      <c r="D14" s="32" t="s">
        <v>174</v>
      </c>
      <c r="E14" s="33" t="s">
        <v>12</v>
      </c>
      <c r="F14" s="34">
        <v>12.0</v>
      </c>
      <c r="G14" s="33">
        <v>2.0</v>
      </c>
      <c r="H14" s="51">
        <f>IFERROR(F14*G14,0)</f>
        <v>24.0</v>
      </c>
      <c r="I14" s="51">
        <f t="array" ref="I14">IFERROR(INDEX('Tasas de Cambio'!$E$11:$E$15,MATCH(E14,'Tasas de Cambio'!$B$11:$B$15,0)),0)</f>
        <v>3810.45</v>
      </c>
      <c r="J14" s="52">
        <f>IFERROR(H14*I14,0)</f>
        <v>91450.79999999999</v>
      </c>
      <c r="K14" s="53">
        <f>IFERROR(J14/2,0)</f>
        <v>45725.399999999994</v>
      </c>
      <c r="L14" s="54" t="s">
        <v>123</v>
      </c>
      <c r="M14" s="1" t="s">
        <v>374</v>
      </c>
    </row>
    <row r="15" ht="18.0" customHeight="1">
      <c r="A15" s="29" t="s">
        <v>54</v>
      </c>
      <c r="B15" s="29" t="s">
        <v>182</v>
      </c>
      <c r="C15" s="30" t="s">
        <v>183</v>
      </c>
      <c r="D15" s="32" t="s">
        <v>184</v>
      </c>
      <c r="E15" s="33" t="s">
        <v>97</v>
      </c>
      <c r="F15" s="34">
        <v>0.0</v>
      </c>
      <c r="G15" s="33">
        <v>3.0</v>
      </c>
      <c r="H15" s="51">
        <f>IFERROR(F15*G15,0)</f>
        <v>0</v>
      </c>
      <c r="I15" s="51">
        <f t="array" ref="I15">IFERROR(INDEX('Tasas de Cambio'!$E$11:$E$15,MATCH(E15,'Tasas de Cambio'!$B$11:$B$15,0)),0)</f>
        <v>3270.75</v>
      </c>
      <c r="J15" s="52">
        <f>IFERROR(H15*I15,0)</f>
        <v>0.0</v>
      </c>
      <c r="K15" s="53">
        <f>IFERROR(J15/2,0)</f>
        <v>0.0</v>
      </c>
      <c r="L15" s="54" t="s">
        <v>411</v>
      </c>
      <c r="M15" s="1" t="s">
        <v>374</v>
      </c>
    </row>
    <row r="16" ht="15.75" customHeight="1">
      <c r="A16" s="29" t="s">
        <v>14</v>
      </c>
      <c r="B16" s="29" t="s">
        <v>159</v>
      </c>
      <c r="C16" s="30">
        <v>46515.0</v>
      </c>
      <c r="D16" s="32" t="s">
        <v>180</v>
      </c>
      <c r="E16" s="33" t="s">
        <v>12</v>
      </c>
      <c r="F16" s="34">
        <v>0.0</v>
      </c>
      <c r="G16" s="33">
        <v>1.0</v>
      </c>
      <c r="H16" s="51">
        <f t="shared" si="1"/>
        <v>0</v>
      </c>
      <c r="I16" s="51">
        <f t="array" ref="I16">IFERROR(INDEX('Tasas de Cambio'!$E$11:$E$15,MATCH(E16,'Tasas de Cambio'!$B$11:$B$15,0)),0)</f>
        <v>3810.45</v>
      </c>
      <c r="J16" s="52">
        <f t="shared" si="2"/>
        <v>0.0</v>
      </c>
      <c r="K16" s="53">
        <f>IFERROR(J16/2,0)</f>
        <v>0.0</v>
      </c>
      <c r="L16" s="54" t="s">
        <v>411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0" customHeight="1">
      <c r="A17" s="29" t="s">
        <v>57</v>
      </c>
      <c r="B17" s="29" t="s">
        <v>171</v>
      </c>
      <c r="C17" s="30">
        <v>46515.0</v>
      </c>
      <c r="D17" s="32" t="s">
        <v>326</v>
      </c>
      <c r="E17" s="33" t="s">
        <v>12</v>
      </c>
      <c r="F17" s="34">
        <v>0.0</v>
      </c>
      <c r="G17" s="33">
        <v>3.0</v>
      </c>
      <c r="H17" s="51">
        <f t="shared" si="1"/>
        <v>0</v>
      </c>
      <c r="I17" s="51">
        <f t="array" ref="I17">IFERROR(INDEX('Tasas de Cambio'!$E$11:$E$15,MATCH(E17,'Tasas de Cambio'!$B$11:$B$15,0)),0)</f>
        <v>3810.45</v>
      </c>
      <c r="J17" s="52">
        <f t="shared" si="2"/>
        <v>0.0</v>
      </c>
      <c r="K17" s="53">
        <f>IFERROR(J17/'Tasas de Cambio'!$C$5,0)</f>
        <v>0.0</v>
      </c>
      <c r="L17" s="54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29" t="s">
        <v>59</v>
      </c>
      <c r="B18" s="29" t="s">
        <v>171</v>
      </c>
      <c r="C18" s="30">
        <v>46515.0</v>
      </c>
      <c r="D18" s="32" t="s">
        <v>189</v>
      </c>
      <c r="E18" s="33" t="s">
        <v>12</v>
      </c>
      <c r="F18" s="34">
        <v>10.0</v>
      </c>
      <c r="G18" s="33">
        <v>2.0</v>
      </c>
      <c r="H18" s="51">
        <f t="shared" si="1"/>
        <v>20.0</v>
      </c>
      <c r="I18" s="51">
        <f t="array" ref="I18">IFERROR(INDEX('Tasas de Cambio'!$E$11:$E$15,MATCH(E18,'Tasas de Cambio'!$B$11:$B$15,0)),0)</f>
        <v>3810.45</v>
      </c>
      <c r="J18" s="52">
        <f t="shared" si="2"/>
        <v>76209.0</v>
      </c>
      <c r="K18" s="53">
        <f>IFERROR(J18/2,0)</f>
        <v>38104.5</v>
      </c>
      <c r="L18" s="54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29" t="s">
        <v>57</v>
      </c>
      <c r="B19" s="29" t="s">
        <v>327</v>
      </c>
      <c r="C19" s="30">
        <v>46516.0</v>
      </c>
      <c r="D19" s="32" t="s">
        <v>326</v>
      </c>
      <c r="E19" s="33" t="s">
        <v>12</v>
      </c>
      <c r="F19" s="34">
        <v>0.0</v>
      </c>
      <c r="G19" s="33">
        <v>3.0</v>
      </c>
      <c r="H19" s="51">
        <f t="shared" si="1"/>
        <v>0</v>
      </c>
      <c r="I19" s="51">
        <f t="array" ref="I19">IFERROR(INDEX('Tasas de Cambio'!$E$11:$E$15,MATCH(E19,'Tasas de Cambio'!$B$11:$B$15,0)),0)</f>
        <v>3810.45</v>
      </c>
      <c r="J19" s="52">
        <f t="shared" si="2"/>
        <v>0.0</v>
      </c>
      <c r="K19" s="53">
        <f>IFERROR(J19/'Tasas de Cambio'!$C$5,0)</f>
        <v>0.0</v>
      </c>
      <c r="L19" s="54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0" customHeight="1">
      <c r="A20" s="29" t="s">
        <v>57</v>
      </c>
      <c r="B20" s="29" t="s">
        <v>194</v>
      </c>
      <c r="C20" s="30" t="s">
        <v>393</v>
      </c>
      <c r="D20" s="32" t="s">
        <v>391</v>
      </c>
      <c r="E20" s="33" t="s">
        <v>97</v>
      </c>
      <c r="F20" s="34">
        <v>70.0</v>
      </c>
      <c r="G20" s="33">
        <v>2.0</v>
      </c>
      <c r="H20" s="51">
        <f>IFERROR(F20*G20,0)</f>
        <v>140.0</v>
      </c>
      <c r="I20" s="51">
        <f t="array" ref="I20">IFERROR(INDEX('Tasas de Cambio'!$E$11:$E$15,MATCH(E20,'Tasas de Cambio'!$B$11:$B$15,0)),0)</f>
        <v>3270.75</v>
      </c>
      <c r="J20" s="52">
        <f>IFERROR(H20*I20,0)</f>
        <v>457905.0</v>
      </c>
      <c r="K20" s="53">
        <f>IFERROR(J20/2,0)</f>
        <v>228952.5</v>
      </c>
      <c r="L20" s="54" t="s">
        <v>396</v>
      </c>
      <c r="M20" s="1" t="s">
        <v>374</v>
      </c>
    </row>
    <row r="21" ht="15.75" customHeight="1">
      <c r="A21" s="29" t="s">
        <v>59</v>
      </c>
      <c r="B21" s="29" t="s">
        <v>194</v>
      </c>
      <c r="C21" s="30">
        <v>46517.0</v>
      </c>
      <c r="D21" s="32" t="s">
        <v>197</v>
      </c>
      <c r="E21" s="33" t="s">
        <v>12</v>
      </c>
      <c r="F21" s="34">
        <v>25.0</v>
      </c>
      <c r="G21" s="33">
        <v>2.0</v>
      </c>
      <c r="H21" s="51">
        <f t="shared" si="1"/>
        <v>50.0</v>
      </c>
      <c r="I21" s="51">
        <f t="array" ref="I21">IFERROR(INDEX('Tasas de Cambio'!$E$11:$E$15,MATCH(E21,'Tasas de Cambio'!$B$11:$B$15,0)),0)</f>
        <v>3810.45</v>
      </c>
      <c r="J21" s="52">
        <f t="shared" si="2"/>
        <v>190522.5</v>
      </c>
      <c r="K21" s="53">
        <f>IFERROR(J21/2,0)</f>
        <v>95261.25</v>
      </c>
      <c r="L21" s="54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0" customHeight="1">
      <c r="A22" s="29" t="s">
        <v>57</v>
      </c>
      <c r="B22" s="29" t="s">
        <v>198</v>
      </c>
      <c r="C22" s="30" t="s">
        <v>394</v>
      </c>
      <c r="D22" s="32" t="s">
        <v>395</v>
      </c>
      <c r="E22" s="33" t="s">
        <v>97</v>
      </c>
      <c r="F22" s="34">
        <v>120.0</v>
      </c>
      <c r="G22" s="33">
        <v>2.0</v>
      </c>
      <c r="H22" s="51">
        <f>IFERROR(F22*G22,0)</f>
        <v>240.0</v>
      </c>
      <c r="I22" s="51">
        <f t="array" ref="I22">IFERROR(INDEX('Tasas de Cambio'!$E$11:$E$15,MATCH(E22,'Tasas de Cambio'!$B$11:$B$15,0)),0)</f>
        <v>3270.75</v>
      </c>
      <c r="J22" s="52">
        <f>IFERROR(H22*I22,0)</f>
        <v>784980.0</v>
      </c>
      <c r="K22" s="53">
        <f>IFERROR(J22/2,0)</f>
        <v>392490.0</v>
      </c>
      <c r="L22" s="54" t="s">
        <v>397</v>
      </c>
      <c r="M22" s="1" t="s">
        <v>374</v>
      </c>
    </row>
    <row r="23" ht="30.0" customHeight="1">
      <c r="A23" s="29" t="s">
        <v>59</v>
      </c>
      <c r="B23" s="29" t="s">
        <v>198</v>
      </c>
      <c r="C23" s="30">
        <v>46518.0</v>
      </c>
      <c r="D23" s="32" t="s">
        <v>197</v>
      </c>
      <c r="E23" s="33" t="s">
        <v>12</v>
      </c>
      <c r="F23" s="34">
        <v>25.0</v>
      </c>
      <c r="G23" s="33">
        <v>2.0</v>
      </c>
      <c r="H23" s="51">
        <f t="shared" si="1"/>
        <v>50.0</v>
      </c>
      <c r="I23" s="51">
        <f t="array" ref="I23">IFERROR(INDEX('Tasas de Cambio'!$E$11:$E$15,MATCH(E23,'Tasas de Cambio'!$B$11:$B$15,0)),0)</f>
        <v>3810.45</v>
      </c>
      <c r="J23" s="52">
        <f t="shared" si="2"/>
        <v>190522.5</v>
      </c>
      <c r="K23" s="53">
        <f>IFERROR(J23/2,0)</f>
        <v>95261.25</v>
      </c>
      <c r="L23" s="54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0" customHeight="1">
      <c r="A24" s="29" t="s">
        <v>57</v>
      </c>
      <c r="B24" s="29" t="s">
        <v>201</v>
      </c>
      <c r="C24" s="30" t="s">
        <v>389</v>
      </c>
      <c r="D24" s="32" t="s">
        <v>203</v>
      </c>
      <c r="E24" s="33" t="s">
        <v>12</v>
      </c>
      <c r="F24" s="34">
        <v>0.0</v>
      </c>
      <c r="G24" s="33">
        <v>3.0</v>
      </c>
      <c r="H24" s="51">
        <f>IFERROR(F24*G24,0)</f>
        <v>0.0</v>
      </c>
      <c r="I24" s="51">
        <f t="array" ref="I24">IFERROR(INDEX('Tasas de Cambio'!$E$11:$E$15,MATCH(E24,'Tasas de Cambio'!$B$11:$B$15,0)),0)</f>
        <v>3810.45</v>
      </c>
      <c r="J24" s="52">
        <f>IFERROR(H24*I24,0)</f>
        <v>0.0</v>
      </c>
      <c r="K24" s="53">
        <f>IFERROR(J24/'Tasas de Cambio'!$C$5,0)</f>
        <v>0.0</v>
      </c>
      <c r="L24" s="54" t="s">
        <v>123</v>
      </c>
      <c r="M24" s="1" t="s">
        <v>374</v>
      </c>
    </row>
    <row r="25" ht="15.75" customHeight="1">
      <c r="A25" s="29" t="s">
        <v>57</v>
      </c>
      <c r="B25" s="29" t="s">
        <v>327</v>
      </c>
      <c r="C25" s="30">
        <v>46520.0</v>
      </c>
      <c r="D25" s="32" t="s">
        <v>326</v>
      </c>
      <c r="E25" s="33" t="s">
        <v>37</v>
      </c>
      <c r="F25" s="34">
        <v>0.0</v>
      </c>
      <c r="G25" s="33">
        <v>3.0</v>
      </c>
      <c r="H25" s="51">
        <f t="shared" si="1"/>
        <v>0</v>
      </c>
      <c r="I25" s="51">
        <f t="array" ref="I25">IFERROR(INDEX('Tasas de Cambio'!$E$11:$E$15,MATCH(E25,'Tasas de Cambio'!$B$11:$B$15,0)),0)</f>
        <v>157.82</v>
      </c>
      <c r="J25" s="52">
        <f t="shared" si="2"/>
        <v>0.0</v>
      </c>
      <c r="K25" s="53">
        <f>IFERROR(J25/'Tasas de Cambio'!$C$5,0)</f>
        <v>0.0</v>
      </c>
      <c r="L25" s="54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29" t="s">
        <v>14</v>
      </c>
      <c r="B26" s="29" t="s">
        <v>206</v>
      </c>
      <c r="C26" s="30">
        <v>46521.0</v>
      </c>
      <c r="D26" s="32" t="s">
        <v>331</v>
      </c>
      <c r="E26" s="33" t="s">
        <v>12</v>
      </c>
      <c r="F26" s="34">
        <v>10.0</v>
      </c>
      <c r="G26" s="33">
        <v>2.0</v>
      </c>
      <c r="H26" s="51">
        <f t="shared" si="1"/>
        <v>20.0</v>
      </c>
      <c r="I26" s="51">
        <f t="array" ref="I26">IFERROR(INDEX('Tasas de Cambio'!$E$11:$E$15,MATCH(E26,'Tasas de Cambio'!$B$11:$B$15,0)),0)</f>
        <v>3810.45</v>
      </c>
      <c r="J26" s="52">
        <f t="shared" si="2"/>
        <v>76209.0</v>
      </c>
      <c r="K26" s="53">
        <f>IFERROR(J26/2,0)</f>
        <v>38104.5</v>
      </c>
      <c r="L26" s="54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29" t="s">
        <v>36</v>
      </c>
      <c r="B27" s="29" t="s">
        <v>212</v>
      </c>
      <c r="C27" s="30" t="s">
        <v>213</v>
      </c>
      <c r="D27" s="32" t="s">
        <v>399</v>
      </c>
      <c r="E27" s="33" t="s">
        <v>12</v>
      </c>
      <c r="F27" s="34">
        <v>0.0</v>
      </c>
      <c r="G27" s="33">
        <v>1.0</v>
      </c>
      <c r="H27" s="51">
        <f>IFERROR(F27*G27,0)</f>
        <v>0</v>
      </c>
      <c r="I27" s="51">
        <f t="array" ref="I27">IFERROR(INDEX('Tasas de Cambio'!$E$11:$E$15,MATCH(E27,'Tasas de Cambio'!$B$11:$B$15,0)),0)</f>
        <v>3810.45</v>
      </c>
      <c r="J27" s="52">
        <f>IFERROR(H27*I27,0)</f>
        <v>0.0</v>
      </c>
      <c r="K27" s="53">
        <f>IFERROR(J27/2,0)</f>
        <v>0.0</v>
      </c>
      <c r="L27" s="54" t="s">
        <v>411</v>
      </c>
      <c r="M27" s="1" t="s">
        <v>374</v>
      </c>
    </row>
    <row r="28" ht="30.0" customHeight="1">
      <c r="A28" s="29" t="s">
        <v>14</v>
      </c>
      <c r="B28" s="29" t="s">
        <v>209</v>
      </c>
      <c r="C28" s="30" t="s">
        <v>405</v>
      </c>
      <c r="D28" s="32" t="s">
        <v>404</v>
      </c>
      <c r="E28" s="33" t="s">
        <v>12</v>
      </c>
      <c r="F28" s="34">
        <v>12.0</v>
      </c>
      <c r="G28" s="33">
        <v>2.0</v>
      </c>
      <c r="H28" s="51">
        <f>IFERROR(F28*G28,0)</f>
        <v>24.0</v>
      </c>
      <c r="I28" s="51">
        <f t="array" ref="I28">IFERROR(INDEX('Tasas de Cambio'!$E$11:$E$15,MATCH(E28,'Tasas de Cambio'!$B$11:$B$15,0)),0)</f>
        <v>3810.45</v>
      </c>
      <c r="J28" s="52">
        <f>IFERROR(H28*I28,0)</f>
        <v>91450.79999999999</v>
      </c>
      <c r="K28" s="53">
        <f>IFERROR(J28/2,0)</f>
        <v>45725.399999999994</v>
      </c>
      <c r="L28" s="54" t="s">
        <v>123</v>
      </c>
      <c r="M28" s="1" t="s">
        <v>374</v>
      </c>
    </row>
    <row r="29" ht="30.0" customHeight="1">
      <c r="A29" s="29" t="s">
        <v>59</v>
      </c>
      <c r="B29" s="29" t="s">
        <v>215</v>
      </c>
      <c r="C29" s="30">
        <v>46522.0</v>
      </c>
      <c r="D29" s="32" t="s">
        <v>216</v>
      </c>
      <c r="E29" s="33" t="s">
        <v>12</v>
      </c>
      <c r="F29" s="34">
        <v>30.0</v>
      </c>
      <c r="G29" s="33">
        <v>2.0</v>
      </c>
      <c r="H29" s="51">
        <f t="shared" si="1"/>
        <v>60.0</v>
      </c>
      <c r="I29" s="51">
        <f t="array" ref="I29">IFERROR(INDEX('Tasas de Cambio'!$E$11:$E$15,MATCH(E29,'Tasas de Cambio'!$B$11:$B$15,0)),0)</f>
        <v>3810.45</v>
      </c>
      <c r="J29" s="52">
        <f t="shared" si="2"/>
        <v>228627.0</v>
      </c>
      <c r="K29" s="53">
        <f>IFERROR(J29/2,0)</f>
        <v>114313.5</v>
      </c>
      <c r="L29" s="54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30.0" customHeight="1">
      <c r="A30" s="29" t="s">
        <v>11</v>
      </c>
      <c r="B30" s="29" t="s">
        <v>334</v>
      </c>
      <c r="C30" s="30">
        <v>46523.0</v>
      </c>
      <c r="D30" s="32" t="s">
        <v>366</v>
      </c>
      <c r="E30" s="33" t="s">
        <v>55</v>
      </c>
      <c r="F30" s="34">
        <v>1491070.0</v>
      </c>
      <c r="G30" s="33">
        <v>2.0</v>
      </c>
      <c r="H30" s="51">
        <f t="shared" si="1"/>
        <v>2982140.0</v>
      </c>
      <c r="I30" s="51">
        <f t="array" ref="I30">IFERROR(INDEX('Tasas de Cambio'!$E$11:$E$15,MATCH(E30,'Tasas de Cambio'!$B$11:$B$15,0)),0)</f>
        <v>1</v>
      </c>
      <c r="J30" s="52">
        <f t="shared" si="2"/>
        <v>2982140.0</v>
      </c>
      <c r="K30" s="53">
        <f>IFERROR(J30/2,0)</f>
        <v>1491070.0</v>
      </c>
      <c r="L30" s="54" t="s">
        <v>367</v>
      </c>
      <c r="M30" s="1" t="s">
        <v>374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30.0" customHeight="1">
      <c r="A31" s="29" t="s">
        <v>14</v>
      </c>
      <c r="B31" s="29" t="s">
        <v>209</v>
      </c>
      <c r="C31" s="30">
        <v>46523.0</v>
      </c>
      <c r="D31" s="32" t="s">
        <v>337</v>
      </c>
      <c r="E31" s="33" t="s">
        <v>12</v>
      </c>
      <c r="F31" s="34">
        <v>0.0</v>
      </c>
      <c r="G31" s="33">
        <v>1.0</v>
      </c>
      <c r="H31" s="51">
        <f t="shared" si="1"/>
        <v>0</v>
      </c>
      <c r="I31" s="51">
        <f t="array" ref="I31">IFERROR(INDEX('Tasas de Cambio'!$E$11:$E$15,MATCH(E31,'Tasas de Cambio'!$B$11:$B$15,0)),0)</f>
        <v>3810.45</v>
      </c>
      <c r="J31" s="52">
        <f t="shared" si="2"/>
        <v>0.0</v>
      </c>
      <c r="K31" s="53">
        <f>IFERROR(J31/2,0)</f>
        <v>0.0</v>
      </c>
      <c r="L31" s="54" t="s">
        <v>411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30.0" customHeight="1">
      <c r="A32" s="29" t="s">
        <v>57</v>
      </c>
      <c r="B32" s="29" t="s">
        <v>228</v>
      </c>
      <c r="C32" s="30" t="s">
        <v>210</v>
      </c>
      <c r="D32" s="32" t="s">
        <v>400</v>
      </c>
      <c r="E32" s="33" t="s">
        <v>12</v>
      </c>
      <c r="F32" s="34">
        <v>10.0</v>
      </c>
      <c r="G32" s="33">
        <v>2.0</v>
      </c>
      <c r="H32" s="51">
        <f>IFERROR(F32*G32,0)</f>
        <v>20.0</v>
      </c>
      <c r="I32" s="51">
        <f t="array" ref="I32">IFERROR(INDEX('Tasas de Cambio'!$E$11:$E$15,MATCH(E32,'Tasas de Cambio'!$B$11:$B$15,0)),0)</f>
        <v>3810.45</v>
      </c>
      <c r="J32" s="52">
        <f>IFERROR(H32*I32,0)</f>
        <v>76209.0</v>
      </c>
      <c r="K32" s="53">
        <f>IFERROR(J32/2,0)</f>
        <v>38104.5</v>
      </c>
      <c r="L32" s="54" t="s">
        <v>401</v>
      </c>
      <c r="M32" s="1" t="s">
        <v>374</v>
      </c>
    </row>
    <row r="33" ht="30.0" customHeight="1">
      <c r="A33" s="29" t="s">
        <v>59</v>
      </c>
      <c r="B33" s="29" t="s">
        <v>228</v>
      </c>
      <c r="C33" s="30">
        <v>46523.0</v>
      </c>
      <c r="D33" s="32" t="s">
        <v>230</v>
      </c>
      <c r="E33" s="33" t="s">
        <v>12</v>
      </c>
      <c r="F33" s="34">
        <v>25.0</v>
      </c>
      <c r="G33" s="33">
        <v>2.0</v>
      </c>
      <c r="H33" s="51">
        <f t="shared" si="1"/>
        <v>50.0</v>
      </c>
      <c r="I33" s="51">
        <f t="array" ref="I33">IFERROR(INDEX('Tasas de Cambio'!$E$11:$E$15,MATCH(E33,'Tasas de Cambio'!$B$11:$B$15,0)),0)</f>
        <v>3810.45</v>
      </c>
      <c r="J33" s="52">
        <f t="shared" si="2"/>
        <v>190522.5</v>
      </c>
      <c r="K33" s="53">
        <f>IFERROR(J33/2,0)</f>
        <v>95261.25</v>
      </c>
      <c r="L33" s="54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30.0" customHeight="1">
      <c r="A34" s="29" t="s">
        <v>57</v>
      </c>
      <c r="B34" s="29" t="s">
        <v>171</v>
      </c>
      <c r="C34" s="30" t="s">
        <v>173</v>
      </c>
      <c r="D34" s="32" t="s">
        <v>383</v>
      </c>
      <c r="E34" s="33" t="s">
        <v>97</v>
      </c>
      <c r="F34" s="34">
        <v>10.0</v>
      </c>
      <c r="G34" s="33">
        <v>2.0</v>
      </c>
      <c r="H34" s="51">
        <f>IFERROR(F34*G34,0)</f>
        <v>20.0</v>
      </c>
      <c r="I34" s="51">
        <f t="array" ref="I34">IFERROR(INDEX('Tasas de Cambio'!$E$11:$E$15,MATCH(E34,'Tasas de Cambio'!$B$11:$B$15,0)),0)</f>
        <v>3270.75</v>
      </c>
      <c r="J34" s="52">
        <f>IFERROR(H34*I34,0)</f>
        <v>65415.0</v>
      </c>
      <c r="K34" s="53">
        <f>IFERROR(J34/2,0)</f>
        <v>32707.5</v>
      </c>
      <c r="L34" s="54" t="s">
        <v>384</v>
      </c>
      <c r="M34" s="1" t="s">
        <v>374</v>
      </c>
    </row>
    <row r="35" ht="30.0" customHeight="1">
      <c r="A35" s="29"/>
      <c r="B35" s="29"/>
      <c r="C35" s="30"/>
      <c r="D35" s="66" t="s">
        <v>177</v>
      </c>
      <c r="E35" s="33"/>
      <c r="F35" s="34"/>
      <c r="G35" s="33"/>
      <c r="H35" s="51"/>
      <c r="I35" s="51"/>
      <c r="J35" s="67">
        <f t="shared" ref="J35:K35" si="3">SUM(J5:J33)</f>
        <v>26823621.6</v>
      </c>
      <c r="K35" s="67">
        <f t="shared" si="3"/>
        <v>8941207.2</v>
      </c>
      <c r="L35" s="54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30.0" customHeight="1">
      <c r="A36" s="29" t="s">
        <v>64</v>
      </c>
      <c r="B36" s="29" t="s">
        <v>191</v>
      </c>
      <c r="C36" s="30" t="s">
        <v>192</v>
      </c>
      <c r="D36" s="32" t="s">
        <v>386</v>
      </c>
      <c r="E36" s="33" t="s">
        <v>55</v>
      </c>
      <c r="F36" s="34">
        <v>0.0</v>
      </c>
      <c r="G36" s="33">
        <v>1.0</v>
      </c>
      <c r="H36" s="51">
        <f>IFERROR(F36*G36,0)</f>
        <v>0.0</v>
      </c>
      <c r="I36" s="51">
        <f t="array" ref="I36">IFERROR(INDEX('Tasas de Cambio'!$E$11:$E$15,MATCH(E36,'Tasas de Cambio'!$B$11:$B$15,0)),0)</f>
        <v>1.0</v>
      </c>
      <c r="J36" s="52">
        <f>IFERROR(H36*I36,0)</f>
        <v>0.0</v>
      </c>
      <c r="K36" s="53">
        <f>IFERROR(J36/'Tasas de Cambio'!$C$5,0)</f>
        <v>0.0</v>
      </c>
      <c r="L36" s="54" t="s">
        <v>387</v>
      </c>
      <c r="M36" s="1" t="s">
        <v>374</v>
      </c>
    </row>
    <row r="37" ht="30.0" customHeight="1">
      <c r="A37" s="29" t="s">
        <v>64</v>
      </c>
      <c r="B37" s="29" t="s">
        <v>191</v>
      </c>
      <c r="C37" s="30" t="s">
        <v>205</v>
      </c>
      <c r="D37" s="32" t="s">
        <v>386</v>
      </c>
      <c r="E37" s="33" t="s">
        <v>55</v>
      </c>
      <c r="F37" s="34">
        <v>0.0</v>
      </c>
      <c r="G37" s="33">
        <v>1.0</v>
      </c>
      <c r="H37" s="51">
        <f>IFERROR(F37*G37,0)</f>
        <v>0.0</v>
      </c>
      <c r="I37" s="51">
        <f t="array" ref="I37">IFERROR(INDEX('Tasas de Cambio'!$E$11:$E$15,MATCH(E37,'Tasas de Cambio'!$B$11:$B$15,0)),0)</f>
        <v>1.0</v>
      </c>
      <c r="J37" s="52">
        <f>IFERROR(H37*I37,0)</f>
        <v>0.0</v>
      </c>
      <c r="K37" s="53">
        <f>IFERROR(J37/'Tasas de Cambio'!$C$5,0)</f>
        <v>0.0</v>
      </c>
      <c r="L37" s="54" t="s">
        <v>387</v>
      </c>
      <c r="M37" s="1" t="s">
        <v>374</v>
      </c>
    </row>
    <row r="38" ht="30.0" customHeight="1">
      <c r="A38" s="29" t="s">
        <v>14</v>
      </c>
      <c r="B38" s="29" t="s">
        <v>228</v>
      </c>
      <c r="C38" s="30" t="s">
        <v>210</v>
      </c>
      <c r="D38" s="32" t="s">
        <v>402</v>
      </c>
      <c r="E38" s="33" t="s">
        <v>12</v>
      </c>
      <c r="F38" s="34">
        <v>25.0</v>
      </c>
      <c r="G38" s="33">
        <v>2.0</v>
      </c>
      <c r="H38" s="51">
        <f>IFERROR(F38*G38,0)</f>
        <v>50.0</v>
      </c>
      <c r="I38" s="51">
        <f t="array" ref="I38">IFERROR(INDEX('Tasas de Cambio'!$E$11:$E$15,MATCH(E38,'Tasas de Cambio'!$B$11:$B$15,0)),0)</f>
        <v>3810.45</v>
      </c>
      <c r="J38" s="52">
        <f>IFERROR(H38*I38,0)</f>
        <v>190522.5</v>
      </c>
      <c r="K38" s="53">
        <f>IFERROR(J38/2,0)</f>
        <v>95261.25</v>
      </c>
      <c r="L38" s="54" t="s">
        <v>403</v>
      </c>
      <c r="M38" s="1" t="s">
        <v>374</v>
      </c>
    </row>
    <row r="39" ht="30.0" customHeight="1">
      <c r="A39" s="29" t="s">
        <v>11</v>
      </c>
      <c r="B39" s="29" t="s">
        <v>209</v>
      </c>
      <c r="C39" s="30" t="s">
        <v>210</v>
      </c>
      <c r="D39" s="32" t="s">
        <v>406</v>
      </c>
      <c r="E39" s="33" t="s">
        <v>12</v>
      </c>
      <c r="F39" s="34">
        <v>25.0</v>
      </c>
      <c r="G39" s="33">
        <v>2.0</v>
      </c>
      <c r="H39" s="51">
        <f>IFERROR(F39*G39,0)</f>
        <v>50.0</v>
      </c>
      <c r="I39" s="51">
        <f t="array" ref="I39">IFERROR(INDEX('Tasas de Cambio'!$E$11:$E$15,MATCH(E39,'Tasas de Cambio'!$B$11:$B$15,0)),0)</f>
        <v>3810.45</v>
      </c>
      <c r="J39" s="52">
        <f>IFERROR(H39*I39,0)</f>
        <v>190522.5</v>
      </c>
      <c r="K39" s="53">
        <f>IFERROR(J39/2,0)</f>
        <v>95261.25</v>
      </c>
      <c r="L39" s="54" t="s">
        <v>408</v>
      </c>
      <c r="M39" s="1" t="s">
        <v>374</v>
      </c>
    </row>
    <row r="40" ht="30.0" customHeight="1">
      <c r="A40" s="29" t="s">
        <v>59</v>
      </c>
      <c r="B40" s="29" t="s">
        <v>201</v>
      </c>
      <c r="C40" s="30" t="s">
        <v>202</v>
      </c>
      <c r="D40" s="32" t="s">
        <v>204</v>
      </c>
      <c r="E40" s="33" t="s">
        <v>12</v>
      </c>
      <c r="F40" s="34">
        <v>0.0</v>
      </c>
      <c r="G40" s="33">
        <v>3.0</v>
      </c>
      <c r="H40" s="51">
        <f>IFERROR(F40*G40,0)</f>
        <v>0.0</v>
      </c>
      <c r="I40" s="51">
        <f t="array" ref="I40">IFERROR(INDEX('Tasas de Cambio'!$E$11:$E$15,MATCH(E40,'Tasas de Cambio'!$B$11:$B$15,0)),0)</f>
        <v>3810.45</v>
      </c>
      <c r="J40" s="52">
        <f>IFERROR(H40*I40,0)</f>
        <v>0.0</v>
      </c>
      <c r="K40" s="53">
        <f>IFERROR(J40/'Tasas de Cambio'!$C$5,0)</f>
        <v>0.0</v>
      </c>
      <c r="L40" s="54" t="s">
        <v>388</v>
      </c>
      <c r="M40" s="1" t="s">
        <v>374</v>
      </c>
    </row>
    <row r="41" ht="30.0" customHeight="1">
      <c r="A41" s="29" t="s">
        <v>59</v>
      </c>
      <c r="B41" s="29" t="s">
        <v>206</v>
      </c>
      <c r="C41" s="30" t="s">
        <v>207</v>
      </c>
      <c r="D41" s="32" t="s">
        <v>204</v>
      </c>
      <c r="E41" s="33" t="s">
        <v>12</v>
      </c>
      <c r="F41" s="34">
        <v>0.0</v>
      </c>
      <c r="G41" s="33">
        <v>3.0</v>
      </c>
      <c r="H41" s="51">
        <f>IFERROR(F41*G41,0)</f>
        <v>0.0</v>
      </c>
      <c r="I41" s="51">
        <f t="array" ref="I41">IFERROR(INDEX('Tasas de Cambio'!$E$11:$E$15,MATCH(E41,'Tasas de Cambio'!$B$11:$B$15,0)),0)</f>
        <v>3810.45</v>
      </c>
      <c r="J41" s="52">
        <f>IFERROR(H41*I41,0)</f>
        <v>0.0</v>
      </c>
      <c r="K41" s="53">
        <f>IFERROR(J41/'Tasas de Cambio'!$C$5,0)</f>
        <v>0.0</v>
      </c>
      <c r="L41" s="54" t="s">
        <v>388</v>
      </c>
      <c r="M41" s="1" t="s">
        <v>374</v>
      </c>
    </row>
    <row r="42" ht="30.0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30.0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0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30.0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30.0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30.0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30.0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30.0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24.0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A2:L2"/>
  </mergeCells>
  <dataValidations>
    <dataValidation type="list" allowBlank="1" sqref="E6:E9 E11:E16 E18:E21 E23:E25 E27:E46 E48:E50 E52:E109">
      <formula1>$P$2:$P$6</formula1>
    </dataValidation>
    <dataValidation type="list" allowBlank="1" sqref="A5:A109">
      <formula1>$O$2:$O$7</formula1>
    </dataValidation>
  </dataValidations>
  <printOptions/>
  <pageMargins bottom="0.4" footer="0.0" header="0.0" left="0.3" right="0.3" top="0.4"/>
  <pageSetup fitToHeight="0" paperSize="9" orientation="landscape"/>
  <drawing r:id="rId1"/>
</worksheet>
</file>