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  <Override ContentType="application/vnd.openxmlformats-officedocument.spreadsheetml.worksheet+xml" PartName="/xl/worksheets/sheet13.xml"/>
  <Override ContentType="application/vnd.openxmlformats-officedocument.drawing+xml" PartName="/xl/drawings/drawing13.xml"/>
  <Override ContentType="application/vnd.openxmlformats-officedocument.spreadsheetml.worksheet+xml" PartName="/xl/worksheets/sheet14.xml"/>
  <Override ContentType="application/vnd.openxmlformats-officedocument.drawing+xml" PartName="/xl/drawings/drawing14.xml"/>
  <Override ContentType="application/vnd.openxmlformats-officedocument.spreadsheetml.worksheet+xml" PartName="/xl/worksheets/sheet15.xml"/>
  <Override ContentType="application/vnd.openxmlformats-officedocument.drawing+xml" PartName="/xl/drawings/drawing15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visible" name="Crucero 4P" sheetId="13" r:id="rId17"/>
    <sheet state="hidden" name="Resumen Crucero" sheetId="11" r:id="rId15"/>
    <sheet state="visible" name="Crucero Milan" sheetId="14" r:id="rId18"/>
    <sheet state="visible" name="Cotizacion Milan" sheetId="15" r:id="rId19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<sst xmlns="http://schemas.openxmlformats.org/spreadsheetml/2006/main" count="1580" uniqueCount="537">
  <si>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</si>
  <si>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</si>
  <si>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</si>
  <si>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</si>
  <si>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</si>
  <si>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</si>
  <si>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</si>
  <si>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</si>
  <si>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</si>
  <si>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</si>
  <si>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</si>
  <si>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</si>
  <si>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</si>
  <si>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</si>
  <si>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</si>
  <si>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</si>
  <si>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</si>
  <si>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</si>
  <si>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</si>
  <si>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</si>
  <si>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</si>
  <si>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</si>
  <si>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</si>
  <si>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</si>
  <si>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</si>
  <si>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</si>
  <si>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</si>
  <si>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</si>
  <si>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</si>
  <si>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</si>
  <si>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</si>
  <si>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</si>
  <si>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</si>
  <si>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</si>
  <si>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</si>
  <si>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</si>
  <si>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</si>
  <si>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</si>
  <si>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</si>
  <si>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</si>
  <si>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</si>
  <si>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</si>
  <si>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</si>
  <si>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</si>
  <si>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</si>
  <si>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</si>
  <si>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</si>
  <si>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</si>
  <si>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</si>
  <si>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</si>
  <si>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</si>
  <si>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</si>
  <si>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</si>
  <si>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</si>
  <si>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</si>
  <si>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</si>
  <si>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</si>
  <si>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</si>
  <si>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</si>
  <si>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</si>
  <si>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</si>
  <si>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</si>
  <si>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</si>
  <si>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</si>
  <si>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</si>
  <si>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</si>
  <si>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</si>
  <si>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</si>
  <si>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</si>
  <si>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</si>
  <si>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</si>
  <si>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</si>
  <si>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</si>
  <si>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</si>
  <si>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</si>
  <si>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</si>
  <si>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</si>
  <si>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</si>
  <si>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</si>
  <si>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</si>
  <si>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</si>
  <si>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</si>
  <si>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</si>
  <si>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</si>
  <si>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</si>
  <si>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</si>
  <si>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</si>
  <si>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</si>
  <si>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</si>
  <si>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</si>
  <si>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</si>
  <si>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</si>
  <si>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</si>
  <si>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</si>
  <si>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</si>
  <si>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</si>
  <si>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</si>
  <si>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</si>
  <si>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</si>
  <si>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</si>
  <si>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</si>
  <si>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</si>
  <si>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</si>
  <si>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</si>
  <si>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</si>
  <si>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</si>
  <si>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</si>
  <si>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</si>
  <si>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</si>
  <si>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</si>
  <si>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</si>
  <si>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</si>
  <si>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</si>
  <si>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</si>
  <si>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</si>
  <si>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</si>
  <si>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</si>
  <si>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</si>
  <si>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</si>
  <si>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</si>
  <si>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</si>
  <si>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</si>
  <si>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</si>
  <si>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</si>
  <si>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</si>
  <si>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</si>
  <si>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</si>
  <si>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</si>
  <si>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</si>
  <si>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</si>
  <si>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</si>
  <si>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</si>
  <si>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</si>
  <si>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</si>
  <si>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</si>
  <si>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</si>
  <si>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</si>
  <si>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</si>
  <si>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</si>
  <si>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</si>
  <si>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</si>
  <si>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</si>
  <si>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</si>
  <si>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</si>
  <si>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</si>
  <si>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</si>
  <si>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</si>
  <si>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</si>
  <si>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</si>
  <si>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</si>
  <si>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</si>
  <si>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</si>
  <si>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</si>
  <si>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</si>
  <si>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</si>
  <si>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</si>
  <si>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</si>
  <si>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</si>
  <si>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</si>
  <si>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</si>
  <si>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</si>
  <si>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</si>
  <si>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</si>
  <si>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</si>
  <si>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</si>
  <si>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</si>
  <si>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</si>
  <si>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</si>
  <si>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</si>
  <si>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</si>
  <si>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</si>
  <si>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</si>
  <si>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</si>
  <si>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</si>
  <si>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</si>
  <si>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</si>
  <si>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</si>
  <si>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</si>
  <si>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</si>
  <si>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</si>
  <si>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</si>
  <si>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</si>
  <si>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</si>
  <si>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</si>
  <si>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</si>
  <si>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</si>
  <si>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</si>
  <si>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</si>
  <si>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</si>
  <si>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</si>
  <si>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</si>
  <si>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</si>
  <si>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</si>
  <si>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</si>
  <si>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</si>
  <si>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</si>
  <si>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</si>
  <si>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</si>
  <si>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</si>
  <si>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</si>
  <si>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</si>
  <si>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</si>
  <si>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</si>
  <si>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</si>
  <si>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</si>
  <si>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</si>
  <si>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</si>
  <si>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</si>
  <si>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</si>
  <si>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</si>
  <si>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</si>
  <si>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</si>
  <si>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</si>
  <si>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</si>
  <si>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</si>
  <si>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</si>
  <si>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</si>
  <si>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</si>
  <si>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</si>
  <si>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</si>
  <si>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</si>
  <si>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</si>
  <si>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</si>
  <si>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</si>
  <si>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</si>
  <si>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</si>
  <si>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</si>
  <si>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</si>
  <si>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</si>
  <si>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</si>
  <si>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</si>
  <si>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</si>
  <si>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</si>
  <si>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</si>
  <si>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</si>
  <si>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</si>
  <si>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</si>
  <si>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</si>
  <si>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</si>
  <si>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</si>
  <si>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</si>
  <si>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</si>
  <si>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</si>
  <si>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</si>
  <si>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</si>
  <si>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</si>
  <si>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</si>
  <si>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</si>
  <si>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</si>
  <si>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</si>
  <si>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</si>
  <si>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</si>
  <si>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</si>
  <si>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</si>
  <si>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</si>
  <si>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</si>
  <si>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</si>
  <si>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</si>
  <si>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</si>
  <si>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</si>
  <si>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</si>
  <si>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</si>
  <si>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</si>
  <si>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</si>
  <si>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</si>
  <si>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</si>
  <si>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</si>
  <si>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</si>
  <si>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</si>
  <si>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</si>
  <si>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</si>
  <si>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</si>
  <si>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</si>
  <si>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</si>
  <si>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</si>
  <si>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</si>
  <si>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</si>
  <si>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</si>
  <si>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</si>
  <si>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</si>
  <si>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</si>
  <si>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</si>
  <si>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</si>
  <si>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</si>
  <si>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</si>
  <si>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</si>
  <si>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</si>
  <si>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</si>
  <si>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</si>
  <si>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</si>
  <si>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</si>
  <si>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</si>
  <si>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</si>
  <si>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</si>
  <si>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</si>
  <si>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</si>
  <si>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</si>
  <si>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</si>
  <si>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</si>
  <si>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</si>
  <si>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</si>
  <si>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</si>
  <si>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</si>
  <si>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</si>
  <si>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</si>
  <si>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</si>
  <si>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</si>
  <si>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</si>
  <si>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</si>
  <si>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</si>
  <si>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</si>
  <si>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</si>
  <si>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</si>
  <si>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</si>
  <si>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</si>
  <si>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</si>
  <si>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</si>
  <si>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</si>
  <si>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</si>
  <si>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</si>
  <si>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</si>
  <si>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</si>
  <si>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</si>
  <si>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</si>
  <si>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</si>
  <si>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</si>
  <si>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</si>
  <si>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</si>
  <si>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</si>
  <si>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</si>
  <si>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</si>
  <si>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</si>
  <si>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</si>
  <si>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</si>
  <si>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</si>
  <si>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</si>
  <si>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</si>
  <si>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</si>
  <si>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</si>
  <si>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</si>
  <si>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</si>
  <si>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</si>
  <si>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</si>
  <si>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</si>
  <si>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</si>
  <si>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</si>
  <si>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</si>
  <si>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</si>
  <si>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</si>
  <si>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</si>
  <si>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</si>
  <si>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</si>
  <si>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</si>
  <si>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</si>
  <si>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</si>
  <si>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</si>
  <si>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</si>
  <si>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</si>
  <si>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</si>
  <si>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</si>
  <si>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</si>
  <si>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</si>
  <si>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</si>
  <si>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</si>
  <si>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</si>
  <si>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</si>
  <si>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</si>
  <si>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</si>
  <si>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</si>
  <si>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</si>
  <si>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</si>
  <si>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</si>
  <si>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</si>
  <si>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</si>
  <si>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</si>
  <si>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</si>
  <si>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</si>
  <si>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</si>
  <si>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</si>
  <si>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</si>
  <si>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</si>
  <si>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</si>
  <si>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</si>
  <si>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</si>
  <si>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</si>
  <si>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</si>
  <si>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</si>
  <si>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</si>
  <si>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</si>
  <si>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</si>
  <si>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</si>
  <si>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</si>
  <si>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</si>
  <si>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</si>
  <si>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</si>
  <si>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</si>
  <si>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</si>
  <si>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</si>
  <si>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</si>
  <si>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</si>
  <si>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</si>
  <si>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</si>
  <si>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</si>
  <si>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</si>
  <si>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</si>
  <si>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</si>
  <si>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</si>
  <si>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</si>
  <si>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</si>
  <si>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</si>
  <si>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</si>
  <si>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</si>
  <si>
    <t>27/08/2026</t>
  </si>
  <si>
    <t>SIM compartida entre las 2 personas para los 11 días del crucero. https://esim.holafly.com/es/esim-europa/?selectedDays=11&amp;startDate=2027-05-06&amp;endDate=2027-05-16</t>
  </si>
  <si>
    <t>28 ago 2026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</si>
  <si>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9118810_91908190_0_2_0&amp;checkin=2027-05-06&amp;checkout=2027-05-08&amp;dest_id=-372490&amp;dest_type=city&amp;dist=0&amp;group_adults=2&amp;group_children=0&amp;hapos=1&amp;highlighted_blocks=9118810_91908190_0_2_0&amp;hpos=1&amp;matching_block_id=9118810_91908190_0_2_0&amp;no_rooms=1&amp;req_adults=2&amp;req_children=0&amp;room1=A%2CA&amp;sb_price_type=total&amp;sr_order=popularity&amp;sr_pri_blocks=9118810_91908190_0_2_0__32800&amp;srepoch=1787920765&amp;srpvid=c13758fcde590c7a&amp;type=total&amp;ucfs=1</t>
  </si>
  <si>
    <t>46515.0</t>
  </si>
  <si>
    <t>46523.0</t>
  </si>
  <si>
    <t>. https://www.booking.com/hotel/it/alloggi-arlecchino.es.html?aid=304142&amp;label=gen173bo-10CAsocUISYWxsb2dnaS1hcmxlY2NoaW5vSApYA2gyiAEBmAEzuAEHyAEM2AED6AEB-AEBiAIBmAIEqAIBuAKxisbUBsACAdICJDYzYjI0MDkzLWUwMDQtNGE1NS05ZjIwLWYwODllODdiODI1ONgCAeACAQ&amp;sid=f6a1a9bb810c453f7b5f1225205f1f26&amp;all_sr_blocks=466062001_143466186_0_0_0&amp;checkin=2027-05-15&amp;checkout=2027-05-16&amp;dest_id=-132007&amp;dest_type=city&amp;dist=0&amp;group_adults=2&amp;group_children=0&amp;hapos=1&amp;highlighted_blocks=466062001_143466186_0_0_0&amp;hpos=1&amp;matching_block_id=466062001_143466186_0_0_0&amp;no_rooms=1&amp;req_adults=2&amp;req_children=0&amp;room1=A%2CA&amp;sb_price_type=total&amp;sr_order=popularity&amp;sr_pri_blocks=466062001_143466186_0_0_0__29079&amp;srepoch=1787921833&amp;srpvid=be9c5b0e91871d4a&amp;type=total&amp;ucfs=1</t>
  </si>
  <si>
    <t>26 – 27 May (2 días)</t>
  </si>
  <si>
    <t>25 – 27 May (2 noches)</t>
  </si>
  <si>
    <t>Pendiente reconfirmar fecha y tarifa del vuelo de regreso (antes 30 may)</t>
  </si>
  <si>
    <t>Lufthansa, jue 29 abr 23:30 BOG → vie 30 abr 21:40 ZRH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</si>
  <si>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Lufthansa, jue 27 may 11:30 MUC → jue 27 may 18:55 BOG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</si>
  <si>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 · BOG 23:30 → ZRH 21:40 (+1 día) · 1 escala (FRA) · Duración 15h10m · Economy Light</t>
  </si>
  <si>
    <t>Lufthansa · MUC 11:30 → BOG 18:55 · 1 escala (FRA) · Duración 14h25m · Economy Light</t>
  </si>
  <si>
    <t>Lufthansa · BOG 23:30 → ZRH 21:40 (+1 día) · 1 escala (FRA) · Duración 15h10m · Economy Light. https://shop.lufthansa.com/booking/cart?cartId=1A57JZ3SOHA482LL&amp;type=cart&amp;shared=true&amp;origin=BOG&amp;utm_source=sharedcart&amp;utm_medium=referral&amp;consent=true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</si>
  <si>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https://shop.lufthansa.com/booking/cart?cartId=1A57JZ3SOHA482LL&amp;type=cart&amp;shared=true&amp;origin=BOG&amp;utm_source=sharedcart&amp;utm_medium=referral&amp;consent=true</t>
  </si>
  <si>
    <t>29 Abr 2027</t>
  </si>
  <si>
    <t>Hotel Zúrich — costo total (3 noches)</t>
  </si>
  <si>
    <t>. https://www.booking.com/hotel/ch/zurich-furnished-homes.es.html?aid=304142&amp;label=gen173bo-10CAsoLEIWenVyaWNoLWZ1cm5pc2hlZC1ob21lc0gKWANoMogBAZgBM7gBB8gBDNgBA-gBAfgBAYgCAZgCBKgCAbgCmZnG1AbAAgHSAiRjODQ2NzZkNy0xNDc3LTQzODMtOTg2Yi0wNjY0OWIwM2UwODTYAgHgAgE&amp;sid=f6a1a9bb810c453f7b5f1225205f1f26&amp;all_sr_blocks=426775604_128924099_0_0_0_285195&amp;checkin=2027-04-30&amp;checkout=2027-05-03&amp;dest_id=-2554935&amp;dest_type=city&amp;dist=0&amp;group_adults=3&amp;group_children=0&amp;hapos=1&amp;highlighted_blocks=426775604_128924099_0_0_0_285195&amp;hpos=1&amp;matching_block_id=426775604_128924099_0_0_0_285195&amp;no_rooms=1&amp;req_adults=3&amp;req_children=0&amp;room1=A%2CA%2CA&amp;sb_price_type=total&amp;sr_order=popularity&amp;sr_pri_blocks=426775604_128924099_0_0_0_285195_31896&amp;srepoch=1787923630&amp;srpvid=e5b15e949e50094e&amp;type=total&amp;ucfs=1</t>
  </si>
  <si>
    <t>Free tour Zúrich</t>
  </si>
  <si>
    <t>Free tour guiado por el centro histórico de Zúrich. https://www.civitatis.com/es/zurich/free-tour-zurich/</t>
  </si>
  <si>
    <t>46509.0</t>
  </si>
  <si>
    <t>Recomendado - tour guiado de día completo desde Zúrich (12h, incl. transporte y entrada Top of Europe). https://www.civitatis.com/es/zurich/excursion-jungfraujoch/</t>
  </si>
  <si>
    <t>Cena</t>
  </si>
  <si>
    <t>Cena de llegada</t>
  </si>
  <si>
    <t>Comida del día (desayuno, almuerzo y cena)</t>
  </si>
  <si>
    <t>Comidas a bordo</t>
  </si>
  <si>
    <t>Incluidas en el vuelo internacional</t>
  </si>
  <si>
    <t>Almuerzo en tierra</t>
  </si>
  <si>
    <t>Desayuno y cena incluidos en el crucero, almuerzo en Pisa/Florencia</t>
  </si>
  <si>
    <t>Desayuno y cena incluidos en el crucero, almuerzo en Roma</t>
  </si>
  <si>
    <t>Incluidas en el crucero (come a bordo)</t>
  </si>
  <si>
    <t>46510.0</t>
  </si>
  <si>
    <t>46511.0</t>
  </si>
  <si>
    <t>46512.0</t>
  </si>
  <si>
    <t>Estimado: ~CHF 70/persona/día (desayuno+almuerzo+cena)</t>
  </si>
  <si>
    <t>Estimado: ~€52/persona/día (desayuno+almuerzo+cena)</t>
  </si>
  <si>
    <t>Desayuno</t>
  </si>
  <si>
    <t>Almuerzo y cena incluidos en el vuelo de regreso (15h, sale 10:55am)</t>
  </si>
  <si>
    <t>Pendiente cotizar para 4 personas</t>
  </si>
  <si>
    <t>SIM compartida entre las 4 personas para los 11 días del crucero. https://esim.holafly.com/es/esim-europa/?selectedDays=11&amp;startDate=2027-05-06&amp;endDate=2027-05-16</t>
  </si>
  <si>
    <t>. https://www.booking.com/hotel/it/la-perla-tolentini-venice.es.html?aid=2311236&amp;label=es-co-booking-desktop-vjGZbEFOhRc3a9njxeT3IwS652829002024%3Apl%3Ata%3Ap1%3Ap2%3Aac%3Aap%3Aneg%3Afi%3Atikwd-65526620%3Alp9246960%3Ali%3Adec%3Adm&amp;sid=f6a1a9bb810c453f7b5f1225205f1f26&amp;all_sr_blocks=1682202104_439951886_4_2_0&amp;checkin=2027-05-15&amp;checkout=2027-05-16&amp;dest_id=-132007&amp;dest_type=city&amp;dist=0&amp;group_adults=4&amp;group_children=0&amp;hapos=2&amp;highlighted_blocks=1682202104_439951886_4_2_0&amp;hpos=2&amp;matching_block_id=1682202104_439951886_4_2_0&amp;no_rooms=1&amp;req_adults=4&amp;req_children=0&amp;room1=A%2CA%2CA%2CA&amp;sb_price_type=total&amp;sr_order=popularity&amp;sr_pri_blocks=1682202104_439951886_4_2_0__21840&amp;srepoch=1787961062&amp;srpvid=4b2da7a784550840&amp;type=total&amp;ucfs=1</t>
  </si>
  <si>
    <t>. https://www.booking.com/hotel/es/hostel-casa-gracia.es.html?aid=2311236&amp;label=es-co-booking-desktop-vjGZbEFOhRc3a9njxeT3IwS652829002024%3Apl%3Ata%3Ap1%3Ap2%3Aac%3Aap%3Aneg%3Afi%3Atikwd-65526620%3Alp9246960%3Ali%3Adec%3Adm&amp;sid=f6a1a9bb810c453f7b5f1225205f1f26&amp;all_sr_blocks=25515454_91915475_0_2_0&amp;checkin=2027-05-06&amp;checkout=2027-05-08&amp;dest_id=-372490&amp;dest_type=city&amp;dist=0&amp;group_adults=4&amp;group_children=0&amp;hapos=3&amp;highlighted_blocks=25515454_91915475_0_2_0&amp;hpos=3&amp;matching_block_id=25515454_91915475_0_2_0&amp;no_rooms=1&amp;req_adults=4&amp;req_children=0&amp;room1=A%2CA%2CA%2CA&amp;sb_price_type=total&amp;sr_order=popularity&amp;sr_pri_blocks=25515454_91915475_0_2_0__40490&amp;srepoch=1787961147&amp;srpvid=a7f6a7cce4750f9a&amp;type=total&amp;ucfs=1</t>
  </si>
  <si>
    <t>Bogota / Venecia</t>
  </si>
  <si>
    <t>46507.0</t>
  </si>
  <si>
    <t>Vuelo internacional Bogotá → Venecia (ida)</t>
  </si>
  <si>
    <t>Pendiente cotizar</t>
  </si>
  <si>
    <t>46508.0</t>
  </si>
  <si>
    <t>Traslado aeropuerto → hotel, Venecia</t>
  </si>
  <si>
    <t>Excursión privada Murano y Burano (islas)</t>
  </si>
  <si>
    <t>Tour a pie Venecia (Plaza San Marcos, Puente de Rialto)</t>
  </si>
  <si>
    <t>Pendiente cotizar. https://www.travelersuniverse.com/munich-city-marienplatz-and-english-garden-walking-tour/</t>
  </si>
  <si>
    <t>Excursión de un día a Verona</t>
  </si>
  <si>
    <t>Pendiente cotizar. https://www.getyourguide.com/munich-l26/salzburg-day-trip-from-munich-by-train-t24230/</t>
  </si>
  <si>
    <t>Palacio Ducal y Basílica de San Marcos (entrada)</t>
  </si>
  <si>
    <t>Pendiente cotizar. https://www.getyourguide.com/bmw-museum-l3579/</t>
  </si>
  <si>
    <t>Venecia / Barcelona</t>
  </si>
  <si>
    <t>Vuelo Venecia → Barcelona, directo</t>
  </si>
  <si>
    <t>Estimado: ~€40/persona/día (desayuno+almuerzo+cena)</t>
  </si>
  <si>
    <t>Bogota / Milán</t>
  </si>
  <si>
    <t>Vuelo internacional Bogotá → Milán (ida)</t>
  </si>
  <si>
    <t>Traslado aeropuerto → hotel, Milán</t>
  </si>
  <si>
    <t>Milán, Italia</t>
  </si>
  <si>
    <t>Hotel Milán — costo por noche</t>
  </si>
  <si>
    <t>Excursión privada Lago di Como (día completo)</t>
  </si>
  <si>
    <t>Milán</t>
  </si>
  <si>
    <t>Tour a pie Milán (Duomo, Galleria Vittorio Emanuele II)</t>
  </si>
  <si>
    <t>Excursión de un día a Bérgamo</t>
  </si>
  <si>
    <t>Duomo di Milano y terrazas (entrada)</t>
  </si>
  <si>
    <t>Milán / Barcelona</t>
  </si>
  <si>
    <t>Vuelo Milán → Barcelona, directo</t>
  </si>
  <si>
    <t>Traslado hotel → aeropuerto, Milán</t>
  </si>
  <si>
    <t>Alpine Wonders: almuerzo en Diavolezza y tren Bernina</t>
  </si>
  <si>
    <t>Excursión de día completo desde Milán, tren panorámico Bernina. https://www.tripadvisor.com/AttractionProductReview-g187849-d15090556-From_Milan_Alpine_Wonders_Lunch_at_Diavolezza_and_Bernina_Train-Milan_Lombardy.html</t>
  </si>
  <si>
    <t>Lufthansa · BOG 23:30 → LIN 22:05 (+1 día) · 1 escala (FRA) · Duración 15h35m · Economy Light</t>
  </si>
  <si>
    <t>Lufthansa · VCE 10:55 → BOG 18:55 · 1 escala (FRA) · Duración 15h00m · Economy Light</t>
  </si>
  <si>
    <t>Wizz Air · MXP 10:45 → BCN 12:25 · directo · Duración 1h40m · WIZZ Smart</t>
  </si>
  <si>
    <t>Hotel Milán — costo total (5 noches)</t>
  </si>
  <si>
    <t>Corso Garibaldi, Centro de Milán, ubicación excelente. https://www.booking.com/hotel/it/breramor.es.html?aid=2311236&amp;label=es-co-booking-desktop-vjGZbEFOhRc3a9njxeT3IwS652829002024%3Apl%3Ata%3Ap1%3Ap2%3Aac%3Aap%3Aneg%3Afi%3Atikwd-65526620%3Alp9246960%3Ali%3Adec%3Adm&amp;sid=f6a1a9bb810c453f7b5f1225205f1f26&amp;all_sr_blocks=985025801_370905765_4_0_0&amp;checkin=2027-05-01&amp;checkout=2027-05-06&amp;dest_id=2303&amp;dest_type=district&amp;dist=0&amp;group_adults=3&amp;group_children=0&amp;hapos=1&amp;highlighted_blocks=985025801_370905765_4_0_0&amp;hpos=1&amp;matching_block_id=985025801_370905765_4_0_0&amp;no_rooms=1&amp;req_adults=3&amp;req_children=0&amp;room1=A%2CA%2CA&amp;sb_price_type=total&amp;sr_order=popularity&amp;sr_pri_blocks=985025801_370905765_4_0_0__84289&amp;srepoch=1787963291&amp;srpvid=81d403311ef809df&amp;type=total&amp;ucfs=1</t>
  </si>
  <si>
    <t>Estimado: taxi tarifa fija Linate-centro €30 (1 carro para el grupo)</t>
  </si>
  <si>
    <t>Estimado: taxi tarifa fija centro-Malpensa €104 (1 carro para el grupo)</t>
  </si>
  <si>
    <t>Excursión a Lago di Como (día completo)</t>
  </si>
  <si>
    <t>Bus + guía + paseo en barco por el lago, 10h. https://www.civitatis.com/en/milan/lake-como-bellagio-trip/</t>
  </si>
  <si>
    <t>Estimado: tour en grupo pequeño ~6h, incluye funicular a Città Alta</t>
  </si>
  <si>
    <t>Entrada terrazas con ascensor, precio oficial. https://ticket.duomomilano.it/en/categoria/terrazze/</t>
  </si>
  <si>
    <t>29 ago 2026</t>
  </si>
  <si>
    <t>1 – 4 May (3 noches)</t>
  </si>
  <si>
    <t>Hotel Milán — costo total (3 noches)</t>
  </si>
  <si>
    <t>Ajustado proporcional a 3 noches (de cotización de 5), confirmar. https://www.booking.com/hotel/it/breramor.es.html?aid=2311236&amp;label=es-co-booking-desktop-vjGZbEFOhRc3a9njxeT3IwS652829002024%3Apl%3Ata%3Ap1%3Ap2%3Aac%3Aap%3Aneg%3Afi%3Atikwd-65526620%3Alp9246960%3Ali%3Adec%3Adm&amp;sid=f6a1a9bb810c453f7b5f1225205f1f26&amp;all_sr_blocks=985025801_370905765_4_0_0&amp;checkin=2027-05-01&amp;checkout=2027-05-06&amp;dest_id=2303&amp;dest_type=district&amp;dist=0&amp;group_adults=3&amp;group_children=0&amp;hapos=1&amp;highlighted_blocks=985025801_370905765_4_0_0&amp;hpos=1&amp;matching_block_id=985025801_370905765_4_0_0&amp;no_rooms=1&amp;req_adults=3&amp;req_children=0&amp;room1=A%2CA%2CA&amp;sb_price_type=total&amp;sr_order=popularity&amp;sr_pri_blocks=985025801_370905765_4_0_0__84289&amp;srepoch=1787963291&amp;srpvid=81d403311ef809df&amp;type=total&amp;ucfs=1</t>
  </si>
  <si>
    <t>Traslado hotel → Estación Milano Centrale</t>
  </si>
  <si>
    <t>Estimado: taxi corto centro Milán (1 carro para el grupo)</t>
  </si>
  <si>
    <t>Milán / Florencia</t>
  </si>
  <si>
    <t>Tren Milán → Florencia, directo</t>
  </si>
  <si>
    <t>Frecciarossa, sale temprano ~6:05am, directo, ~1h54m</t>
  </si>
  <si>
    <t>Traslado estación → hotel, Florencia</t>
  </si>
  <si>
    <t>Estimado: taxi corto, centro histórico (1 carro para el grupo)</t>
  </si>
  <si>
    <t>Florencia, Italia</t>
  </si>
  <si>
    <t>4 – 6 May (2 noches)</t>
  </si>
  <si>
    <t>Hotel Florencia — costo total (2 noches)</t>
  </si>
  <si>
    <t>Florencia / Barcelona</t>
  </si>
  <si>
    <t>Vuelo Florencia → Barcelona, directo</t>
  </si>
  <si>
    <t>Estimado: Vueling, tarifa básica solo maleta de mano</t>
  </si>
  <si>
    <t>Traslado hotel → aeropuerto, Florencia</t>
  </si>
  <si>
    <t>Estimado: taxi corto, aeropuerto muy cerca del centro</t>
  </si>
  <si>
    <t>Florencia</t>
  </si>
  <si>
    <t>Excursión a Roma desde el crucero. https://www.royalcaribbean.com/account/cruise-planner/category/pt_shoreX/product/CV9V?bookingId=3113096&amp;shipCode=BR&amp;sailDate=20270508</t>
  </si>
  <si>
    <t>Excursión a Roma desde el crucero. https://www.royalcaribbean.com/account/cruise-planner/category/shorex/product/CV1F?bookingId=3113096&amp;shipCode=BR&amp;sailDate=20270508</t>
  </si>
  <si>
    <t>Lufthansa · BOG 23:30 → LIN 22:05 (+1 día) · 1 escala (FRA) · Duración 15h35m · Economy Light. https://shop.lufthansa.com/booking/cart?cartId=1A57JZ3SOHA482LL&amp;type=cart&amp;shared=true&amp;origin=BOG&amp;utm_source=sharedcart&amp;utm_medium=referral&amp;consent=true</t>
  </si>
  <si>
    <t>30 ago 2026</t>
  </si>
  <si>
    <t>Milán / París</t>
  </si>
  <si>
    <t>Vuelo Milán → París, directo</t>
  </si>
  <si>
    <t>Estimado: vuelo directo Milán-París, ~1h50m, confirmar aerolínea. https://www.sncf-connect.com/en-en/tgv-lyria/route/zurich/paris</t>
  </si>
  <si>
    <t>Estimado: taxi corto al aeropuerto de Milán</t>
  </si>
  <si>
    <t>Estimado: vuelo directo Milán-París, ~1h50m, confirmar aerolínea</t>
  </si>
  <si>
    <t>Lufthansa · BOG 23:30 → LIN 22:05 (+1 día) · 1 escala (FRA) · Duración 15h35m · Economy Light. https://shop.lufthansa.com/booking/cart?cartId=1SA8AR74PERX9J3T&amp;type=cart&amp;shared=true&amp;origin=BOG&amp;utm_source=sharedcart&amp;utm_medium=referral&amp;consent=true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</si>
  <si>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https://shop.lufthansa.com/booking/cart?cartId=1SA8AR74PERX9J3T&amp;type=cart&amp;shared=true&amp;origin=BOG&amp;utm_source=sharedcart&amp;utm_medium=referral&amp;consent=true</t>
  </si>
  <si>
    <t>Vuelo directo Milán-París, ~1h50m</t>
  </si>
  <si>
    <t>Estimado: taxi tarifa fija Malpensa-centro €105 (1 carro para el grupo)</t>
  </si>
  <si>
    <t>Estimado: taxi tarifa fija CDG-centro (Rive Droite) €56 (1 carro para el grupo)</t>
  </si>
  <si>
    <t>easyJet EJU4890 · LIN 08:30 → ORY 09:55 · Duración 1h25m · directo</t>
  </si>
  <si>
    <t>Estimado: taxi tarifa fija Orly-centro (Rive Droite) €37 (1 carro para el grupo)</t>
  </si>
  <si>
    <t>Franca's Apartment Milano, 3 noches, tarifa total confirmada. https://www.booking.com/hotel/it/francas-apartment-milano17.es.html?aid=304142&amp;label=gen173nr-10CA4oggI46AdIClgEaDKIAQGYATO4AQfIAQzYAQPoAQH4AQGIAgGoAgG4AsCS0tQGwAIB0gIkOGVkYmE2NGQtNGY0OS00MTU4LTgzNzAtZGVlNWVjY2Y3NmE32AIB4AIB&amp;sid=f6a1a9bb810c453f7b5f1225205f1f26&amp;all_sr_blocks=1429932801_439269609_3_0_0&amp;checkin=2027-05-01&amp;checkout=2027-05-04&amp;dest_id=2303&amp;dest_type=district&amp;dist=0&amp;group_adults=3&amp;group_children=0&amp;hapos=7&amp;highlighted_blocks=1429932801_439269609_3_0_0&amp;hpos=7&amp;matching_block_id=1429932801_439269609_3_0_0&amp;nflt=fc%3D2&amp;no_rooms=1&amp;req_adults=3&amp;req_children=0&amp;room1=A%2CA%2CA&amp;sb_price_type=total&amp;sr_order=popularity&amp;sr_pri_blocks=1429932801_439269609_3_0_0__41616&amp;srepoch=1788119649&amp;srpvid=1eb98b8ab11b1a94&amp;type=total&amp;ucfs=1</t>
  </si>
  <si>
    <t>Appartamento luminoso e silenzioso, centro Firenze, 2 noches. https://www.booking.com/hotel/it/appartamento-luminoso-e-silenzioso-centro-firenze.es.html?aid=304142&amp;label=gen173nr-10CA4oggI46AdIClgEaDKIAQGYATO4AQfIAQzYAQPoAQH4AQGIAgGoAgG4AsCS0tQGwAIB0gIkOGVkYmE2NGQtNGY0OS00MTU4LTgzNzAtZGVlNWVjY2Y3NmE32AIB4AIB&amp;sid=f6a1a9bb810c453f7b5f1225205f1f26&amp;all_sr_blocks=1056357901_385521136_3_0_0&amp;checkin=2027-05-04&amp;checkout=2027-05-06&amp;dest_id=-117543&amp;dest_type=city&amp;dist=0&amp;group_adults=3&amp;group_children=0&amp;hapos=1&amp;highlighted_blocks=1056357901_385521136_3_0_0&amp;hpos=1&amp;matching_block_id=1056357901_385521136_3_0_0&amp;nflt=fc%3D2&amp;no_rooms=1&amp;req_adults=3&amp;req_children=0&amp;room1=A%2CA%2CA&amp;sb_price_type=total&amp;sr_order=popularity&amp;sr_pri_blocks=1056357901_385521136_3_0_0__35530&amp;srepoch=1788120061&amp;srpvid=65fe8c46f7330627&amp;type=total&amp;ucfs=1</t>
  </si>
  <si>
    <t>Tour a Zugspitze, Eibsee, Highline179 y Neuschwanstein</t>
  </si>
  <si>
    <t>Excursión de día completo a los Alpes bávaros desde Múnich. https://www.getyourguide.com/munich-l26/tour-a-zugspitze-eibsee-highline179-y-neuschwanstein-t1320693/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</si>
</sst>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412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3629*$E$7</f>
        <v>3810.45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3873*$E$7</f>
        <v>4066.65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150.3*$E$7</f>
        <v>157.82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3115*$E$7</f>
        <v>3270.75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428</v>
      </c>
      <c r="D6" s="32" t="s">
        <v>108</v>
      </c>
      <c r="E6" s="33" t="s">
        <v>55</v>
      </c>
      <c r="F6" s="34">
        <v>1755000.0</v>
      </c>
      <c r="G6" s="33">
        <v>3.0</v>
      </c>
      <c r="H6" s="51">
        <f>IFERROR(F6*G6,0)</f>
        <v>5265000.0</v>
      </c>
      <c r="I6" s="51">
        <f t="array" ref="I6">IFERROR(INDEX('Tasas de Cambio'!$E$11:$E$15,MATCH(E6,'Tasas de Cambio'!$B$11:$B$15,0)),0)</f>
        <v>1.0</v>
      </c>
      <c r="J6" s="52">
        <f>IFERROR(H6*I6,0)</f>
        <v>5265000.0</v>
      </c>
      <c r="K6" s="53">
        <f>IFERROR(J6/'Tasas de Cambio'!$C$5,0)</f>
        <v>1755000.0</v>
      </c>
      <c r="L6" s="54" t="s">
        <v>426</v>
      </c>
      <c r="M6" s="1" t="s">
        <v>414</v>
      </c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4066.65</v>
      </c>
      <c r="J7" s="52">
        <f t="shared" si="2"/>
        <v>182999.25</v>
      </c>
      <c r="K7" s="53">
        <f>IFERROR(J7/'Tasas de Cambio'!$C$5,0)</f>
        <v>60999.75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429</v>
      </c>
      <c r="E8" s="33" t="s">
        <v>55</v>
      </c>
      <c r="F8" s="34">
        <v>2290000.0</v>
      </c>
      <c r="G8" s="33">
        <v>1.0</v>
      </c>
      <c r="H8" s="51">
        <f>IFERROR(F8*G8,0)</f>
        <v>2290000.0</v>
      </c>
      <c r="I8" s="51">
        <f t="array" ref="I8">IFERROR(INDEX('Tasas de Cambio'!$E$11:$E$15,MATCH(E8,'Tasas de Cambio'!$B$11:$B$15,0)),0)</f>
        <v>1.0</v>
      </c>
      <c r="J8" s="52">
        <f>IFERROR(H8*I8,0)</f>
        <v>2290000.0</v>
      </c>
      <c r="K8" s="53">
        <f>IFERROR(J8/'Tasas de Cambio'!$C$5,0)</f>
        <v>763333.3333333334</v>
      </c>
      <c r="L8" s="54" t="s">
        <v>430</v>
      </c>
      <c r="M8" s="1" t="s">
        <v>414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437</v>
      </c>
      <c r="E11" s="33" t="s">
        <v>17</v>
      </c>
      <c r="F11" s="34">
        <v>70.0</v>
      </c>
      <c r="G11" s="33">
        <v>3.0</v>
      </c>
      <c r="H11" s="51">
        <f>IFERROR(F11*G11,0)</f>
        <v>210.0</v>
      </c>
      <c r="I11" s="51">
        <f t="array" ref="I11">IFERROR(INDEX('Tasas de Cambio'!$E$11:$E$15,MATCH(E11,'Tasas de Cambio'!$B$11:$B$15,0)),0)</f>
        <v>4066.65</v>
      </c>
      <c r="J11" s="52">
        <f>IFERROR(H11*I11,0)</f>
        <v>853996.5</v>
      </c>
      <c r="K11" s="53">
        <f>IFERROR(J11/'Tasas de Cambio'!$C$5,0)</f>
        <v>284665.5</v>
      </c>
      <c r="L11" s="54" t="s">
        <v>123</v>
      </c>
      <c r="M11" s="1" t="s">
        <v>414</v>
      </c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431</v>
      </c>
      <c r="E12" s="33" t="s">
        <v>97</v>
      </c>
      <c r="F12" s="34">
        <v>15.0</v>
      </c>
      <c r="G12" s="33">
        <v>3.0</v>
      </c>
      <c r="H12" s="51">
        <f>IFERROR(F12*G12,0)</f>
        <v>45.0</v>
      </c>
      <c r="I12" s="51">
        <f t="array" ref="I12">IFERROR(INDEX('Tasas de Cambio'!$E$11:$E$15,MATCH(E12,'Tasas de Cambio'!$B$11:$B$15,0)),0)</f>
        <v>3270.75</v>
      </c>
      <c r="J12" s="52">
        <f>IFERROR(H12*I12,0)</f>
        <v>147183.75</v>
      </c>
      <c r="K12" s="53">
        <f>IFERROR(J12/'Tasas de Cambio'!$C$5,0)</f>
        <v>49061.25</v>
      </c>
      <c r="L12" s="54" t="s">
        <v>432</v>
      </c>
      <c r="M12" s="1" t="s">
        <v>414</v>
      </c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362.0</v>
      </c>
      <c r="G13" s="33">
        <v>3.0</v>
      </c>
      <c r="H13" s="51">
        <f>IFERROR(F13*G13,0)</f>
        <v>1086.0</v>
      </c>
      <c r="I13" s="51">
        <f t="array" ref="I13">IFERROR(INDEX('Tasas de Cambio'!$E$11:$E$15,MATCH(E13,'Tasas de Cambio'!$B$11:$B$15,0)),0)</f>
        <v>3270.75</v>
      </c>
      <c r="J13" s="52">
        <f>IFERROR(H13*I13,0)</f>
        <v>3552034.5</v>
      </c>
      <c r="K13" s="53">
        <f>IFERROR(J13/'Tasas de Cambio'!$C$5,0)</f>
        <v>1184011.5</v>
      </c>
      <c r="L13" s="54" t="s">
        <v>434</v>
      </c>
      <c r="M13" s="1" t="s">
        <v>414</v>
      </c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437</v>
      </c>
      <c r="E14" s="33" t="s">
        <v>17</v>
      </c>
      <c r="F14" s="34">
        <v>70.0</v>
      </c>
      <c r="G14" s="33">
        <v>3.0</v>
      </c>
      <c r="H14" s="51">
        <f>IFERROR(F14*G14,0)</f>
        <v>210.0</v>
      </c>
      <c r="I14" s="51">
        <f t="array" ref="I14">IFERROR(INDEX('Tasas de Cambio'!$E$11:$E$15,MATCH(E14,'Tasas de Cambio'!$B$11:$B$15,0)),0)</f>
        <v>4066.65</v>
      </c>
      <c r="J14" s="52">
        <f>IFERROR(H14*I14,0)</f>
        <v>853996.5</v>
      </c>
      <c r="K14" s="53">
        <f>IFERROR(J14/'Tasas de Cambio'!$C$5,0)</f>
        <v>284665.5</v>
      </c>
      <c r="L14" s="54" t="s">
        <v>123</v>
      </c>
      <c r="M14" s="1" t="s">
        <v>414</v>
      </c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3810.45</v>
      </c>
      <c r="J15" s="52">
        <f t="shared" si="2"/>
        <v>857351.25</v>
      </c>
      <c r="K15" s="53">
        <f>IFERROR(J15/'Tasas de Cambio'!$C$5,0)</f>
        <v>285783.75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4066.65</v>
      </c>
      <c r="J16" s="52">
        <f t="shared" si="2"/>
        <v>60999.75</v>
      </c>
      <c r="K16" s="53">
        <f>IFERROR(J16/'Tasas de Cambio'!$C$5,0)</f>
        <v>20333.25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3810.45</v>
      </c>
      <c r="J17" s="52">
        <f t="shared" si="2"/>
        <v>68588.09999999999</v>
      </c>
      <c r="K17" s="53">
        <f>IFERROR(J17/'Tasas de Cambio'!$C$5,0)</f>
        <v>22862.699999999997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1755000.0</v>
      </c>
      <c r="G78" s="33">
        <v>3.0</v>
      </c>
      <c r="H78" s="51">
        <f>IFERROR(F78*G78,0)</f>
        <v>5265000.0</v>
      </c>
      <c r="I78" s="51">
        <f t="array" ref="I78">IFERROR(INDEX('Tasas de Cambio'!$E$11:$E$15,MATCH(E78,'Tasas de Cambio'!$B$11:$B$15,0)),0)</f>
        <v>1.0</v>
      </c>
      <c r="J78" s="52">
        <f>IFERROR(H78*I78,0)</f>
        <v>5265000.0</v>
      </c>
      <c r="K78" s="53">
        <f>IFERROR(J78/'Tasas de Cambio'!$C$5,0)</f>
        <v>1755000.0</v>
      </c>
      <c r="L78" s="54" t="s">
        <v>427</v>
      </c>
      <c r="M78" s="1" t="s">
        <v>414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4066.65</v>
      </c>
      <c r="J13" s="52">
        <f t="shared" si="2"/>
        <v>182999.25</v>
      </c>
      <c r="K13" s="53">
        <f>IFERROR(J13/'Tasas de Cambio'!$C$5,0)</f>
        <v>60999.75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4066.65</v>
      </c>
      <c r="J14" s="52">
        <f>IFERROR(H14*I14,0)</f>
        <v>3659985.0</v>
      </c>
      <c r="K14" s="53">
        <f>IFERROR(J14/'Tasas de Cambio'!$C$5,0)</f>
        <v>1219995.0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3270.75</v>
      </c>
      <c r="J16" s="52">
        <f t="shared" si="2"/>
        <v>883102.5</v>
      </c>
      <c r="K16" s="53">
        <f>IFERROR(J16/'Tasas de Cambio'!$C$5,0)</f>
        <v>294367.5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 t="s">
        <v>433</v>
      </c>
      <c r="D17" s="32" t="s">
        <v>131</v>
      </c>
      <c r="E17" s="33" t="s">
        <v>97</v>
      </c>
      <c r="F17" s="34">
        <v>362.0</v>
      </c>
      <c r="G17" s="33">
        <v>3.0</v>
      </c>
      <c r="H17" s="51">
        <f>IFERROR(F17*G17,0)</f>
        <v>1086.0</v>
      </c>
      <c r="I17" s="51">
        <f t="array" ref="I17">IFERROR(INDEX('Tasas de Cambio'!$E$11:$E$15,MATCH(E17,'Tasas de Cambio'!$B$11:$B$15,0)),0)</f>
        <v>3270.75</v>
      </c>
      <c r="J17" s="52">
        <f>IFERROR(H17*I17,0)</f>
        <v>3552034.5</v>
      </c>
      <c r="K17" s="53">
        <f>IFERROR(J17/'Tasas de Cambio'!$C$5,0)</f>
        <v>1184011.5</v>
      </c>
      <c r="L17" s="54" t="s">
        <v>434</v>
      </c>
      <c r="M17" s="1" t="s">
        <v>414</v>
      </c>
    </row>
    <row r="18" ht="30.0" customHeight="1">
      <c r="A18" s="29" t="s">
        <v>59</v>
      </c>
      <c r="B18" s="29" t="s">
        <v>124</v>
      </c>
      <c r="C18" s="30" t="s">
        <v>433</v>
      </c>
      <c r="D18" s="32" t="s">
        <v>437</v>
      </c>
      <c r="E18" s="33" t="s">
        <v>17</v>
      </c>
      <c r="F18" s="34">
        <v>70.0</v>
      </c>
      <c r="G18" s="33">
        <v>3.0</v>
      </c>
      <c r="H18" s="51">
        <f>IFERROR(F18*G18,0)</f>
        <v>210.0</v>
      </c>
      <c r="I18" s="51">
        <f t="array" ref="I18">IFERROR(INDEX('Tasas de Cambio'!$E$11:$E$15,MATCH(E18,'Tasas de Cambio'!$B$11:$B$15,0)),0)</f>
        <v>4066.65</v>
      </c>
      <c r="J18" s="52">
        <f>IFERROR(H18*I18,0)</f>
        <v>853996.5</v>
      </c>
      <c r="K18" s="53">
        <f>IFERROR(J18/'Tasas de Cambio'!$C$5,0)</f>
        <v>284665.5</v>
      </c>
      <c r="L18" s="54" t="s">
        <v>447</v>
      </c>
      <c r="M18" s="1" t="s">
        <v>414</v>
      </c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3270.75</v>
      </c>
      <c r="J19" s="52">
        <f t="shared" si="2"/>
        <v>1471837.5</v>
      </c>
      <c r="K19" s="53">
        <f>IFERROR(J19/'Tasas de Cambio'!$C$5,0)</f>
        <v>490612.5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 t="s">
        <v>444</v>
      </c>
      <c r="D20" s="32" t="s">
        <v>437</v>
      </c>
      <c r="E20" s="33" t="s">
        <v>17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4066.65</v>
      </c>
      <c r="J20" s="52">
        <f>IFERROR(H20*I20,0)</f>
        <v>853996.5</v>
      </c>
      <c r="K20" s="53">
        <f>IFERROR(J20/'Tasas de Cambio'!$C$5,0)</f>
        <v>284665.5</v>
      </c>
      <c r="L20" s="54" t="s">
        <v>447</v>
      </c>
      <c r="M20" s="1" t="s">
        <v>414</v>
      </c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3270.75</v>
      </c>
      <c r="J21" s="52">
        <f t="shared" si="2"/>
        <v>1354090.5</v>
      </c>
      <c r="K21" s="53">
        <f>IFERROR(J21/'Tasas de Cambio'!$C$5,0)</f>
        <v>451363.5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 t="s">
        <v>445</v>
      </c>
      <c r="D22" s="32" t="s">
        <v>437</v>
      </c>
      <c r="E22" s="33" t="s">
        <v>17</v>
      </c>
      <c r="F22" s="34">
        <v>70.0</v>
      </c>
      <c r="G22" s="33">
        <v>3.0</v>
      </c>
      <c r="H22" s="51">
        <f>IFERROR(F22*G22,0)</f>
        <v>210.0</v>
      </c>
      <c r="I22" s="51">
        <f t="array" ref="I22">IFERROR(INDEX('Tasas de Cambio'!$E$11:$E$15,MATCH(E22,'Tasas de Cambio'!$B$11:$B$15,0)),0)</f>
        <v>4066.65</v>
      </c>
      <c r="J22" s="52">
        <f>IFERROR(H22*I22,0)</f>
        <v>853996.5</v>
      </c>
      <c r="K22" s="53">
        <f>IFERROR(J22/'Tasas de Cambio'!$C$5,0)</f>
        <v>284665.5</v>
      </c>
      <c r="L22" s="54" t="s">
        <v>447</v>
      </c>
      <c r="M22" s="1" t="s">
        <v>414</v>
      </c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3270.75</v>
      </c>
      <c r="J23" s="52">
        <f t="shared" si="2"/>
        <v>686857.5</v>
      </c>
      <c r="K23" s="53">
        <f>IFERROR(J23/'Tasas de Cambio'!$C$5,0)</f>
        <v>228952.5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 t="s">
        <v>446</v>
      </c>
      <c r="D24" s="32" t="s">
        <v>437</v>
      </c>
      <c r="E24" s="33" t="s">
        <v>17</v>
      </c>
      <c r="F24" s="34">
        <v>70.0</v>
      </c>
      <c r="G24" s="33">
        <v>3.0</v>
      </c>
      <c r="H24" s="51">
        <f>IFERROR(F24*G24,0)</f>
        <v>210.0</v>
      </c>
      <c r="I24" s="51">
        <f t="array" ref="I24">IFERROR(INDEX('Tasas de Cambio'!$E$11:$E$15,MATCH(E24,'Tasas de Cambio'!$B$11:$B$15,0)),0)</f>
        <v>4066.65</v>
      </c>
      <c r="J24" s="52">
        <f>IFERROR(H24*I24,0)</f>
        <v>853996.5</v>
      </c>
      <c r="K24" s="53">
        <f>IFERROR(J24/'Tasas de Cambio'!$C$5,0)</f>
        <v>284665.5</v>
      </c>
      <c r="L24" s="54" t="s">
        <v>447</v>
      </c>
      <c r="M24" s="1" t="s">
        <v>414</v>
      </c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4066.65</v>
      </c>
      <c r="J26" s="52">
        <f t="shared" si="2"/>
        <v>3306186.45</v>
      </c>
      <c r="K26" s="53">
        <f>IFERROR(J26/'Tasas de Cambio'!$C$5,0)</f>
        <v>1102062.1500000001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4066.65</v>
      </c>
      <c r="J27" s="52">
        <f t="shared" si="2"/>
        <v>182999.25</v>
      </c>
      <c r="K27" s="53">
        <f>IFERROR(J27/'Tasas de Cambio'!$C$5,0)</f>
        <v>60999.75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3810.45</v>
      </c>
      <c r="J28" s="52">
        <f>IFERROR(H28*I28,0)</f>
        <v>152418.0</v>
      </c>
      <c r="K28" s="53">
        <f>IFERROR(J28/'Tasas de Cambio'!$C$5,0)</f>
        <v>50806.0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3810.45</v>
      </c>
      <c r="J29" s="52">
        <f t="shared" si="2"/>
        <v>171470.25</v>
      </c>
      <c r="K29" s="53">
        <f>IFERROR(J29/'Tasas de Cambio'!$C$5,0)</f>
        <v>57156.75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3810.45</v>
      </c>
      <c r="J30" s="52">
        <f>IFERROR(H30*I30,0)</f>
        <v>285783.75</v>
      </c>
      <c r="K30" s="53">
        <f>IFERROR(J30/'Tasas de Cambio'!$C$5,0)</f>
        <v>95261.25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3810.45</v>
      </c>
      <c r="J32" s="52">
        <f>IFERROR(H32*I32,0)</f>
        <v>137176.19999999998</v>
      </c>
      <c r="K32" s="53">
        <f>IFERROR(J32/'Tasas de Cambio'!$C$5,0)</f>
        <v>45725.399999999994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3810.45</v>
      </c>
      <c r="J34" s="52">
        <f t="shared" si="2"/>
        <v>114313.5</v>
      </c>
      <c r="K34" s="53">
        <f>IFERROR(J34/'Tasas de Cambio'!$C$5,0)</f>
        <v>38104.5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3810.45</v>
      </c>
      <c r="J35" s="52">
        <f t="shared" si="2"/>
        <v>0.0</v>
      </c>
      <c r="K35" s="53">
        <f>IFERROR(J35/'Tasas de Cambio'!$C$5,0)</f>
        <v>0.0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3810.45</v>
      </c>
      <c r="J36" s="52">
        <f t="shared" si="2"/>
        <v>114313.5</v>
      </c>
      <c r="K36" s="53">
        <f>IFERROR(J36/'Tasas de Cambio'!$C$5,0)</f>
        <v>38104.5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3810.45</v>
      </c>
      <c r="J37" s="52">
        <f t="shared" si="2"/>
        <v>0.0</v>
      </c>
      <c r="K37" s="53">
        <f>IFERROR(J37/'Tasas de Cambio'!$C$5,0)</f>
        <v>0.0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3270.75</v>
      </c>
      <c r="J38" s="52">
        <f>IFERROR(H38*I38,0)</f>
        <v>686857.5</v>
      </c>
      <c r="K38" s="53">
        <f>IFERROR(J38/'Tasas de Cambio'!$C$5,0)</f>
        <v>228952.5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 t="s">
        <v>393</v>
      </c>
      <c r="D39" s="32" t="s">
        <v>440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441</v>
      </c>
      <c r="M39" s="1" t="s">
        <v>414</v>
      </c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142.0</v>
      </c>
      <c r="G40" s="33">
        <v>3.0</v>
      </c>
      <c r="H40" s="51">
        <f>IFERROR(F40*G40,0)</f>
        <v>426.0</v>
      </c>
      <c r="I40" s="51">
        <f t="array" ref="I40">IFERROR(INDEX('Tasas de Cambio'!$E$11:$E$15,MATCH(E40,'Tasas de Cambio'!$B$11:$B$15,0)),0)</f>
        <v>3270.75</v>
      </c>
      <c r="J40" s="52">
        <f>IFERROR(H40*I40,0)</f>
        <v>1393339.5</v>
      </c>
      <c r="K40" s="53">
        <f>IFERROR(J40/'Tasas de Cambio'!$C$5,0)</f>
        <v>464446.5</v>
      </c>
      <c r="L40" s="54" t="s">
        <v>518</v>
      </c>
      <c r="M40" s="1" t="s">
        <v>497</v>
      </c>
    </row>
    <row r="41" ht="30.0" customHeight="1">
      <c r="A41" s="29" t="s">
        <v>59</v>
      </c>
      <c r="B41" s="29" t="s">
        <v>198</v>
      </c>
      <c r="C41" s="30" t="s">
        <v>394</v>
      </c>
      <c r="D41" s="32" t="s">
        <v>440</v>
      </c>
      <c r="E41" s="33" t="s">
        <v>12</v>
      </c>
      <c r="F41" s="34">
        <v>25.0</v>
      </c>
      <c r="G41" s="33">
        <v>3.0</v>
      </c>
      <c r="H41" s="51">
        <f>IFERROR(F41*G41,0)</f>
        <v>75.0</v>
      </c>
      <c r="I41" s="51">
        <f t="array" ref="I41">IFERROR(INDEX('Tasas de Cambio'!$E$11:$E$15,MATCH(E41,'Tasas de Cambio'!$B$11:$B$15,0)),0)</f>
        <v>3810.45</v>
      </c>
      <c r="J41" s="52">
        <f>IFERROR(H41*I41,0)</f>
        <v>285783.75</v>
      </c>
      <c r="K41" s="53">
        <f>IFERROR(J41/'Tasas de Cambio'!$C$5,0)</f>
        <v>95261.25</v>
      </c>
      <c r="L41" s="54" t="s">
        <v>442</v>
      </c>
      <c r="M41" s="1" t="s">
        <v>414</v>
      </c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3810.45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157.82</v>
      </c>
      <c r="J44" s="52">
        <f t="shared" si="2"/>
        <v>0.0</v>
      </c>
      <c r="K44" s="53">
        <f>IFERROR(J44/'Tasas de Cambio'!$C$5,0)</f>
        <v>0.0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3810.45</v>
      </c>
      <c r="J45" s="52">
        <f t="shared" si="2"/>
        <v>114313.5</v>
      </c>
      <c r="K45" s="53">
        <f>IFERROR(J45/'Tasas de Cambio'!$C$5,0)</f>
        <v>38104.5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3810.45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3810.45</v>
      </c>
      <c r="J48" s="52">
        <f>IFERROR(H48*I48,0)</f>
        <v>137176.19999999998</v>
      </c>
      <c r="K48" s="53">
        <f>IFERROR(J48/'Tasas de Cambio'!$C$5,0)</f>
        <v>45725.399999999994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3810.45</v>
      </c>
      <c r="J49" s="52">
        <f t="shared" si="2"/>
        <v>342940.5</v>
      </c>
      <c r="K49" s="53">
        <f>IFERROR(J49/'Tasas de Cambio'!$C$5,0)</f>
        <v>114313.5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3810.45</v>
      </c>
      <c r="J51" s="52">
        <f t="shared" si="2"/>
        <v>114313.5</v>
      </c>
      <c r="K51" s="53">
        <f>IFERROR(J51/'Tasas de Cambio'!$C$5,0)</f>
        <v>38104.5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3810.45</v>
      </c>
      <c r="J52" s="52">
        <f>IFERROR(H52*I52,0)</f>
        <v>114313.5</v>
      </c>
      <c r="K52" s="53">
        <f>IFERROR(J52/'Tasas de Cambio'!$C$5,0)</f>
        <v>38104.5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 t="s">
        <v>417</v>
      </c>
      <c r="D53" s="32" t="s">
        <v>449</v>
      </c>
      <c r="E53" s="33" t="s">
        <v>12</v>
      </c>
      <c r="F53" s="34">
        <v>12.0</v>
      </c>
      <c r="G53" s="33">
        <v>3.0</v>
      </c>
      <c r="H53" s="51">
        <f>IFERROR(F53*G53,0)</f>
        <v>36.0</v>
      </c>
      <c r="I53" s="51">
        <f t="array" ref="I53">IFERROR(INDEX('Tasas de Cambio'!$E$11:$E$15,MATCH(E53,'Tasas de Cambio'!$B$11:$B$15,0)),0)</f>
        <v>3810.45</v>
      </c>
      <c r="J53" s="52">
        <f>IFERROR(H53*I53,0)</f>
        <v>137176.19999999998</v>
      </c>
      <c r="K53" s="53">
        <f>IFERROR(J53/'Tasas de Cambio'!$C$5,0)</f>
        <v>45725.399999999994</v>
      </c>
      <c r="L53" s="54" t="s">
        <v>450</v>
      </c>
      <c r="M53" s="1" t="s">
        <v>414</v>
      </c>
    </row>
    <row r="54" ht="30.0" customHeight="1">
      <c r="A54" s="29" t="s">
        <v>59</v>
      </c>
      <c r="B54" s="29" t="s">
        <v>117</v>
      </c>
      <c r="C54" s="30" t="s">
        <v>107</v>
      </c>
      <c r="D54" s="32" t="s">
        <v>438</v>
      </c>
      <c r="E54" s="33" t="s">
        <v>55</v>
      </c>
      <c r="F54" s="34">
        <v>0.0</v>
      </c>
      <c r="G54" s="33">
        <v>1.0</v>
      </c>
      <c r="H54" s="51">
        <f>IFERROR(F54*G54,0)</f>
        <v>0.0</v>
      </c>
      <c r="I54" s="51">
        <f t="array" ref="I54">IFERROR(INDEX('Tasas de Cambio'!$E$11:$E$15,MATCH(E54,'Tasas de Cambio'!$B$11:$B$15,0)),0)</f>
        <v>1.0</v>
      </c>
      <c r="J54" s="52">
        <f>IFERROR(H54*I54,0)</f>
        <v>0.0</v>
      </c>
      <c r="K54" s="53">
        <f>IFERROR(J54/'Tasas de Cambio'!$C$5,0)</f>
        <v>0.0</v>
      </c>
      <c r="L54" s="54" t="s">
        <v>439</v>
      </c>
      <c r="M54" s="1" t="s">
        <v>414</v>
      </c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29" t="s">
        <v>59</v>
      </c>
      <c r="B56" s="29" t="s">
        <v>191</v>
      </c>
      <c r="C56" s="30" t="s">
        <v>192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191</v>
      </c>
      <c r="C57" s="30" t="s">
        <v>205</v>
      </c>
      <c r="D57" s="32" t="s">
        <v>443</v>
      </c>
      <c r="E57" s="33" t="s">
        <v>55</v>
      </c>
      <c r="F57" s="34">
        <v>0.0</v>
      </c>
      <c r="G57" s="33">
        <v>1.0</v>
      </c>
      <c r="H57" s="51">
        <f>IFERROR(F57*G57,0)</f>
        <v>0.0</v>
      </c>
      <c r="I57" s="51">
        <f t="array" ref="I57">IFERROR(INDEX('Tasas de Cambio'!$E$11:$E$15,MATCH(E57,'Tasas de Cambio'!$B$11:$B$15,0)),0)</f>
        <v>1.0</v>
      </c>
      <c r="J57" s="52">
        <f>IFERROR(H57*I57,0)</f>
        <v>0.0</v>
      </c>
      <c r="K57" s="53">
        <f>IFERROR(J57/'Tasas de Cambio'!$C$5,0)</f>
        <v>0.0</v>
      </c>
      <c r="L57" s="54" t="s">
        <v>123</v>
      </c>
      <c r="M57" s="1" t="s">
        <v>414</v>
      </c>
    </row>
    <row r="58" ht="15.75" customHeight="1">
      <c r="A58" s="29" t="s">
        <v>59</v>
      </c>
      <c r="B58" s="29" t="s">
        <v>124</v>
      </c>
      <c r="C58" s="30" t="s">
        <v>125</v>
      </c>
      <c r="D58" s="32" t="s">
        <v>435</v>
      </c>
      <c r="E58" s="33" t="s">
        <v>17</v>
      </c>
      <c r="F58" s="34">
        <v>28.0</v>
      </c>
      <c r="G58" s="33">
        <v>3.0</v>
      </c>
      <c r="H58" s="51">
        <f>IFERROR(F58*G58,0)</f>
        <v>84.0</v>
      </c>
      <c r="I58" s="51">
        <f t="array" ref="I58">IFERROR(INDEX('Tasas de Cambio'!$E$11:$E$15,MATCH(E58,'Tasas de Cambio'!$B$11:$B$15,0)),0)</f>
        <v>4066.65</v>
      </c>
      <c r="J58" s="52">
        <f>IFERROR(H58*I58,0)</f>
        <v>341598.60000000003</v>
      </c>
      <c r="K58" s="53">
        <f>IFERROR(J58/'Tasas de Cambio'!$C$5,0)</f>
        <v>113866.20000000001</v>
      </c>
      <c r="L58" s="54" t="s">
        <v>436</v>
      </c>
      <c r="M58" s="1" t="s">
        <v>414</v>
      </c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3810.45</v>
      </c>
      <c r="J13" s="52">
        <f t="shared" si="2"/>
        <v>285783.75</v>
      </c>
      <c r="K13" s="53">
        <f>IFERROR(J13/'Tasas de Cambio'!$C$5,0)</f>
        <v>95261.25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3810.45</v>
      </c>
      <c r="J14" s="52">
        <f>IFERROR(H14*I14,0)</f>
        <v>2476792.5</v>
      </c>
      <c r="K14" s="53">
        <f>IFERROR(J14/'Tasas de Cambio'!$C$5,0)</f>
        <v>825597.5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/>
      <c r="B17" s="29"/>
      <c r="C17" s="30"/>
      <c r="D17" s="32"/>
      <c r="E17" s="33"/>
      <c r="F17" s="34"/>
      <c r="G17" s="33"/>
      <c r="H17" s="51"/>
      <c r="I17" s="51"/>
      <c r="J17" s="52"/>
      <c r="K17" s="53"/>
      <c r="L17" s="54"/>
      <c r="M17" s="1"/>
    </row>
    <row r="18" ht="30.0" customHeight="1">
      <c r="A18" s="29" t="s">
        <v>59</v>
      </c>
      <c r="B18" s="29" t="s">
        <v>292</v>
      </c>
      <c r="C18" s="30" t="s">
        <v>433</v>
      </c>
      <c r="D18" s="32" t="s">
        <v>437</v>
      </c>
      <c r="E18" s="33" t="s">
        <v>12</v>
      </c>
      <c r="F18" s="34">
        <v>52.0</v>
      </c>
      <c r="G18" s="33">
        <v>3.0</v>
      </c>
      <c r="H18" s="51">
        <f>IFERROR(F18*G18,0)</f>
        <v>156.0</v>
      </c>
      <c r="I18" s="51">
        <f t="array" ref="I18">IFERROR(INDEX('Tasas de Cambio'!$E$11:$E$15,MATCH(E18,'Tasas de Cambio'!$B$11:$B$15,0)),0)</f>
        <v>3810.45</v>
      </c>
      <c r="J18" s="52">
        <f>IFERROR(H18*I18,0)</f>
        <v>594430.2</v>
      </c>
      <c r="K18" s="53">
        <f>IFERROR(J18/'Tasas de Cambio'!$C$5,0)</f>
        <v>198143.4</v>
      </c>
      <c r="L18" s="54" t="s">
        <v>448</v>
      </c>
      <c r="M18" s="1" t="s">
        <v>414</v>
      </c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3810.45</v>
      </c>
      <c r="J19" s="52">
        <f t="shared" si="2"/>
        <v>971664.75</v>
      </c>
      <c r="K19" s="53">
        <f>IFERROR(J19/'Tasas de Cambio'!$C$5,0)</f>
        <v>323888.25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 t="s">
        <v>444</v>
      </c>
      <c r="D20" s="32" t="s">
        <v>437</v>
      </c>
      <c r="E20" s="33" t="s">
        <v>12</v>
      </c>
      <c r="F20" s="34">
        <v>52.0</v>
      </c>
      <c r="G20" s="33">
        <v>3.0</v>
      </c>
      <c r="H20" s="51">
        <f>IFERROR(F20*G20,0)</f>
        <v>156.0</v>
      </c>
      <c r="I20" s="51">
        <f t="array" ref="I20">IFERROR(INDEX('Tasas de Cambio'!$E$11:$E$15,MATCH(E20,'Tasas de Cambio'!$B$11:$B$15,0)),0)</f>
        <v>3810.45</v>
      </c>
      <c r="J20" s="52">
        <f>IFERROR(H20*I20,0)</f>
        <v>594430.2</v>
      </c>
      <c r="K20" s="53">
        <f>IFERROR(J20/'Tasas de Cambio'!$C$5,0)</f>
        <v>198143.4</v>
      </c>
      <c r="L20" s="54" t="s">
        <v>448</v>
      </c>
      <c r="M20" s="1" t="s">
        <v>414</v>
      </c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 t="s">
        <v>445</v>
      </c>
      <c r="D22" s="32" t="s">
        <v>437</v>
      </c>
      <c r="E22" s="33" t="s">
        <v>12</v>
      </c>
      <c r="F22" s="34">
        <v>52.0</v>
      </c>
      <c r="G22" s="33">
        <v>3.0</v>
      </c>
      <c r="H22" s="51">
        <f>IFERROR(F22*G22,0)</f>
        <v>156.0</v>
      </c>
      <c r="I22" s="51">
        <f t="array" ref="I22">IFERROR(INDEX('Tasas de Cambio'!$E$11:$E$15,MATCH(E22,'Tasas de Cambio'!$B$11:$B$15,0)),0)</f>
        <v>3810.45</v>
      </c>
      <c r="J22" s="52">
        <f>IFERROR(H22*I22,0)</f>
        <v>594430.2</v>
      </c>
      <c r="K22" s="53">
        <f>IFERROR(J22/'Tasas de Cambio'!$C$5,0)</f>
        <v>198143.4</v>
      </c>
      <c r="L22" s="54" t="s">
        <v>448</v>
      </c>
      <c r="M22" s="1" t="s">
        <v>414</v>
      </c>
    </row>
    <row r="23" ht="15.75" customHeight="1">
      <c r="A23" s="29" t="s">
        <v>59</v>
      </c>
      <c r="B23" s="29" t="s">
        <v>292</v>
      </c>
      <c r="C23" s="30" t="s">
        <v>446</v>
      </c>
      <c r="D23" s="32" t="s">
        <v>437</v>
      </c>
      <c r="E23" s="33" t="s">
        <v>12</v>
      </c>
      <c r="F23" s="34">
        <v>52.0</v>
      </c>
      <c r="G23" s="33">
        <v>3.0</v>
      </c>
      <c r="H23" s="51">
        <f>IFERROR(F23*G23,0)</f>
        <v>156.0</v>
      </c>
      <c r="I23" s="51">
        <f t="array" ref="I23">IFERROR(INDEX('Tasas de Cambio'!$E$11:$E$15,MATCH(E23,'Tasas de Cambio'!$B$11:$B$15,0)),0)</f>
        <v>3810.45</v>
      </c>
      <c r="J23" s="52">
        <f>IFERROR(H23*I23,0)</f>
        <v>594430.2</v>
      </c>
      <c r="K23" s="53">
        <f>IFERROR(J23/'Tasas de Cambio'!$C$5,0)</f>
        <v>198143.4</v>
      </c>
      <c r="L23" s="54" t="s">
        <v>448</v>
      </c>
      <c r="M23" s="1" t="s">
        <v>414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3810.45</v>
      </c>
      <c r="J25" s="52">
        <f t="shared" si="2"/>
        <v>1794379.0095</v>
      </c>
      <c r="K25" s="53">
        <f>IFERROR(J25/'Tasas de Cambio'!$C$5,0)</f>
        <v>598126.3365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3810.45</v>
      </c>
      <c r="J26" s="52">
        <f t="shared" si="2"/>
        <v>285783.75</v>
      </c>
      <c r="K26" s="53">
        <f>IFERROR(J26/'Tasas de Cambio'!$C$5,0)</f>
        <v>95261.25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29" t="s">
        <v>57</v>
      </c>
      <c r="B58" s="29" t="s">
        <v>292</v>
      </c>
      <c r="C58" s="30" t="s">
        <v>130</v>
      </c>
      <c r="D58" s="32" t="s">
        <v>535</v>
      </c>
      <c r="E58" s="33" t="s">
        <v>55</v>
      </c>
      <c r="F58" s="34">
        <v>2752900.0</v>
      </c>
      <c r="G58" s="33">
        <v>1.0</v>
      </c>
      <c r="H58" s="51">
        <f>IFERROR(F58*G58,0)</f>
        <v>2752900.0</v>
      </c>
      <c r="I58" s="51">
        <f t="array" ref="I58">IFERROR(INDEX('Tasas de Cambio'!$E$11:$E$15,MATCH(E58,'Tasas de Cambio'!$B$11:$B$15,0)),0)</f>
        <v>1.0</v>
      </c>
      <c r="J58" s="52">
        <f>IFERROR(H58*I58,0)</f>
        <v>2752900.0</v>
      </c>
      <c r="K58" s="53">
        <f>IFERROR(J58/'Tasas de Cambio'!$C$5,0)</f>
        <v>917633.3333333334</v>
      </c>
      <c r="L58" s="54" t="s">
        <v>536</v>
      </c>
      <c r="M58" s="1" t="s">
        <v>520</v>
      </c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130830.0</v>
      </c>
      <c r="K5" s="53">
        <f>IFERROR(J5/'Tasas de Cambio'!$C$5,0)</f>
        <v>43610.0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3810.45</v>
      </c>
      <c r="J6" s="52">
        <f t="shared" si="2"/>
        <v>2286270.0</v>
      </c>
      <c r="K6" s="53">
        <f>IFERROR(J6/'Tasas de Cambio'!$C$5,0)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IFERROR(J10/'Tasas de Cambio'!$C$5,0)</f>
        <v>50806.0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3810.45</v>
      </c>
      <c r="J11" s="52">
        <f t="shared" si="2"/>
        <v>171470.25</v>
      </c>
      <c r="K11" s="53">
        <f>IFERROR(J11/'Tasas de Cambio'!$C$5,0)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3270.75</v>
      </c>
      <c r="J12" s="52">
        <f>IFERROR(H12*I12,0)</f>
        <v>98122.5</v>
      </c>
      <c r="K12" s="53">
        <f>IFERROR(J12/'Tasas de Cambio'!$C$5,0)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3810.45</v>
      </c>
      <c r="J13" s="52">
        <f t="shared" si="2"/>
        <v>342940.5</v>
      </c>
      <c r="K13" s="53">
        <f>IFERROR(J13/'Tasas de Cambio'!$C$5,0)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3810.45</v>
      </c>
      <c r="J14" s="52">
        <f>IFERROR(H14*I14,0)</f>
        <v>137176.19999999998</v>
      </c>
      <c r="K14" s="53">
        <f>IFERROR(J14/'Tasas de Cambio'!$C$5,0)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3270.75</v>
      </c>
      <c r="J15" s="52">
        <f>IFERROR(H15*I15,0)</f>
        <v>6574207.5</v>
      </c>
      <c r="K15" s="53">
        <f>IFERROR(J15/'Tasas de Cambio'!$C$5,0)</f>
        <v>2191402.5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3810.45</v>
      </c>
      <c r="J16" s="52">
        <f t="shared" si="2"/>
        <v>114313.5</v>
      </c>
      <c r="K16" s="53">
        <f>IFERROR(J16/'Tasas de Cambio'!$C$5,0)</f>
        <v>38104.5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3810.45</v>
      </c>
      <c r="J18" s="52">
        <f t="shared" si="2"/>
        <v>114313.5</v>
      </c>
      <c r="K18" s="53">
        <f>IFERROR(J18/'Tasas de Cambio'!$C$5,0)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3270.75</v>
      </c>
      <c r="J20" s="52">
        <f>IFERROR(H20*I20,0)</f>
        <v>686857.5</v>
      </c>
      <c r="K20" s="53">
        <f>IFERROR(J20/'Tasas de Cambio'!$C$5,0)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3.0</v>
      </c>
      <c r="H22" s="51">
        <f>IFERROR(F22*G22,0)</f>
        <v>426.0</v>
      </c>
      <c r="I22" s="51">
        <f t="array" ref="I22">IFERROR(INDEX('Tasas de Cambio'!$E$11:$E$15,MATCH(E22,'Tasas de Cambio'!$B$11:$B$15,0)),0)</f>
        <v>3270.75</v>
      </c>
      <c r="J22" s="52">
        <f>IFERROR(H22*I22,0)</f>
        <v>1393339.5</v>
      </c>
      <c r="K22" s="53">
        <f>IFERROR(J22/'Tasas de Cambio'!$C$5,0)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3810.45</v>
      </c>
      <c r="J23" s="52">
        <f t="shared" si="2"/>
        <v>285783.75</v>
      </c>
      <c r="K23" s="53">
        <f>IFERROR(J23/'Tasas de Cambio'!$C$5,0)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3810.45</v>
      </c>
      <c r="J26" s="52">
        <f t="shared" si="2"/>
        <v>114313.5</v>
      </c>
      <c r="K26" s="53">
        <f>IFERROR(J26/'Tasas de Cambio'!$C$5,0)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1524180.0</v>
      </c>
      <c r="K27" s="53">
        <f>IFERROR(J27/'Tasas de Cambio'!$C$5,0)</f>
        <v>508060.0</v>
      </c>
      <c r="L27" s="54" t="s">
        <v>123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3810.45</v>
      </c>
      <c r="J28" s="52">
        <f>IFERROR(H28*I28,0)</f>
        <v>137176.19999999998</v>
      </c>
      <c r="K28" s="53">
        <f>IFERROR(J28/'Tasas de Cambio'!$C$5,0)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3810.45</v>
      </c>
      <c r="J29" s="52">
        <f t="shared" si="2"/>
        <v>342940.5</v>
      </c>
      <c r="K29" s="53">
        <f>IFERROR(J29/'Tasas de Cambio'!$C$5,0)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3810.45</v>
      </c>
      <c r="J31" s="52">
        <f t="shared" si="2"/>
        <v>114313.5</v>
      </c>
      <c r="K31" s="53">
        <f>IFERROR(J31/'Tasas de Cambio'!$C$5,0)</f>
        <v>38104.5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3810.45</v>
      </c>
      <c r="J32" s="52">
        <f>IFERROR(H32*I32,0)</f>
        <v>114313.5</v>
      </c>
      <c r="K32" s="53">
        <f>IFERROR(J32/'Tasas de Cambio'!$C$5,0)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3.0</v>
      </c>
      <c r="H33" s="51">
        <f>IFERROR(F33*G33,0)</f>
        <v>36.0</v>
      </c>
      <c r="I33" s="51">
        <f t="array" ref="I33">IFERROR(INDEX('Tasas de Cambio'!$E$11:$E$15,MATCH(E33,'Tasas de Cambio'!$B$11:$B$15,0)),0)</f>
        <v>3810.45</v>
      </c>
      <c r="J33" s="52">
        <f>IFERROR(H33*I33,0)</f>
        <v>137176.19999999998</v>
      </c>
      <c r="K33" s="53">
        <f>IFERROR(J33/'Tasas de Cambio'!$C$5,0)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3270.75</v>
      </c>
      <c r="J34" s="52">
        <f>IFERROR(H34*I34,0)</f>
        <v>98122.5</v>
      </c>
      <c r="K34" s="53">
        <f>IFERROR(J34/'Tasas de Cambio'!$C$5,0)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IFERROR(J5/2,0)</f>
        <v>65415.0</v>
      </c>
      <c r="L5" s="54" t="s">
        <v>413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3810.45</v>
      </c>
      <c r="J6" s="52">
        <f t="shared" si="2"/>
        <v>1524180.0</v>
      </c>
      <c r="K6" s="53">
        <f>IFERROR(J6/2,0)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1615000.0</v>
      </c>
      <c r="G9" s="33">
        <v>1.0</v>
      </c>
      <c r="H9" s="51">
        <f>IFERROR(F9*G9,0)</f>
        <v>1615000.0</v>
      </c>
      <c r="I9" s="51">
        <f t="array" ref="I9">IFERROR(INDEX('Tasas de Cambio'!$E$11:$E$15,MATCH(E9,'Tasas de Cambio'!$B$11:$B$15,0)),0)</f>
        <v>1.0</v>
      </c>
      <c r="J9" s="52">
        <f>IFERROR(H9*I9,0)</f>
        <v>1615000.0</v>
      </c>
      <c r="K9" s="53">
        <f>IFERROR(J9/2,0)</f>
        <v>807500.0</v>
      </c>
      <c r="L9" s="54" t="s">
        <v>415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IFERROR(J10/2,0)</f>
        <v>76209.0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3810.45</v>
      </c>
      <c r="J11" s="52">
        <f t="shared" si="2"/>
        <v>114313.5</v>
      </c>
      <c r="K11" s="53">
        <f>IFERROR(J11/2,0)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3270.75</v>
      </c>
      <c r="J12" s="52">
        <f>IFERROR(H12*I12,0)</f>
        <v>65415.0</v>
      </c>
      <c r="K12" s="53">
        <f>IFERROR(J12/2,0)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3810.45</v>
      </c>
      <c r="J13" s="52">
        <f t="shared" si="2"/>
        <v>228627.0</v>
      </c>
      <c r="K13" s="53">
        <f>IFERROR(J13/2,0)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3810.45</v>
      </c>
      <c r="J14" s="52">
        <f>IFERROR(H14*I14,0)</f>
        <v>91450.79999999999</v>
      </c>
      <c r="K14" s="53">
        <f>IFERROR(J14/2,0)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1650.0</v>
      </c>
      <c r="G15" s="33">
        <v>1.0</v>
      </c>
      <c r="H15" s="51">
        <f>IFERROR(F15*G15,0)</f>
        <v>1650.0</v>
      </c>
      <c r="I15" s="51">
        <f t="array" ref="I15">IFERROR(INDEX('Tasas de Cambio'!$E$11:$E$15,MATCH(E15,'Tasas de Cambio'!$B$11:$B$15,0)),0)</f>
        <v>3270.75</v>
      </c>
      <c r="J15" s="52">
        <f>IFERROR(H15*I15,0)</f>
        <v>5396737.5</v>
      </c>
      <c r="K15" s="53">
        <f>IFERROR(J15/2,0)</f>
        <v>2698368.75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97</v>
      </c>
      <c r="F16" s="34">
        <v>15.0</v>
      </c>
      <c r="G16" s="33">
        <v>1.0</v>
      </c>
      <c r="H16" s="51">
        <f>IFERROR(F16*G16,0)</f>
        <v>15.0</v>
      </c>
      <c r="I16" s="51">
        <f t="array" ref="I16">IFERROR(INDEX('Tasas de Cambio'!$E$11:$E$15,MATCH(E16,'Tasas de Cambio'!$B$11:$B$15,0)),0)</f>
        <v>3270.75</v>
      </c>
      <c r="J16" s="52">
        <f>IFERROR(H16*I16,0)</f>
        <v>49061.25</v>
      </c>
      <c r="K16" s="53">
        <f>IFERROR(J16/2,0)</f>
        <v>24530.625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3810.45</v>
      </c>
      <c r="J18" s="52">
        <f t="shared" si="2"/>
        <v>76209.0</v>
      </c>
      <c r="K18" s="53">
        <f>IFERROR(J18/2,0)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3270.75</v>
      </c>
      <c r="J20" s="52">
        <f>IFERROR(H20*I20,0)</f>
        <v>457905.0</v>
      </c>
      <c r="K20" s="53">
        <f>IFERROR(J20/2,0)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3810.45</v>
      </c>
      <c r="J21" s="52">
        <f t="shared" si="2"/>
        <v>190522.5</v>
      </c>
      <c r="K21" s="53">
        <f>IFERROR(J21/2,0)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2.0</v>
      </c>
      <c r="H22" s="51">
        <f>IFERROR(F22*G22,0)</f>
        <v>284.0</v>
      </c>
      <c r="I22" s="51">
        <f t="array" ref="I22">IFERROR(INDEX('Tasas de Cambio'!$E$11:$E$15,MATCH(E22,'Tasas de Cambio'!$B$11:$B$15,0)),0)</f>
        <v>3270.75</v>
      </c>
      <c r="J22" s="52">
        <f>IFERROR(H22*I22,0)</f>
        <v>928893.0</v>
      </c>
      <c r="K22" s="53">
        <f>IFERROR(J22/2,0)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3810.45</v>
      </c>
      <c r="J23" s="52">
        <f t="shared" si="2"/>
        <v>190522.5</v>
      </c>
      <c r="K23" s="53">
        <f>IFERROR(J23/2,0)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3810.45</v>
      </c>
      <c r="J26" s="52">
        <f t="shared" si="2"/>
        <v>76209.0</v>
      </c>
      <c r="K26" s="53">
        <f>IFERROR(J26/2,0)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1100000.0</v>
      </c>
      <c r="G27" s="33">
        <v>1.0</v>
      </c>
      <c r="H27" s="51">
        <f>IFERROR(F27*G27,0)</f>
        <v>1100000.0</v>
      </c>
      <c r="I27" s="51">
        <f t="array" ref="I27">IFERROR(INDEX('Tasas de Cambio'!$E$11:$E$15,MATCH(E27,'Tasas de Cambio'!$B$11:$B$15,0)),0)</f>
        <v>1.0</v>
      </c>
      <c r="J27" s="52">
        <f>IFERROR(H27*I27,0)</f>
        <v>1100000.0</v>
      </c>
      <c r="K27" s="53">
        <f>IFERROR(J27/2,0)</f>
        <v>550000.0</v>
      </c>
      <c r="L27" s="54" t="s">
        <v>418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3810.45</v>
      </c>
      <c r="J28" s="52">
        <f>IFERROR(H28*I28,0)</f>
        <v>91450.79999999999</v>
      </c>
      <c r="K28" s="53">
        <f>IFERROR(J28/2,0)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3810.45</v>
      </c>
      <c r="J29" s="52">
        <f t="shared" si="2"/>
        <v>228627.0</v>
      </c>
      <c r="K29" s="53">
        <f>IFERROR(J29/2,0)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IFERROR(J31/2,0)</f>
        <v>57156.75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3810.45</v>
      </c>
      <c r="J32" s="52">
        <f>IFERROR(H32*I32,0)</f>
        <v>76209.0</v>
      </c>
      <c r="K32" s="53">
        <f>IFERROR(J32/2,0)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2.0</v>
      </c>
      <c r="H33" s="51">
        <f>IFERROR(F33*G33,0)</f>
        <v>24.0</v>
      </c>
      <c r="I33" s="51">
        <f t="array" ref="I33">IFERROR(INDEX('Tasas de Cambio'!$E$11:$E$15,MATCH(E33,'Tasas de Cambio'!$B$11:$B$15,0)),0)</f>
        <v>3810.45</v>
      </c>
      <c r="J33" s="52">
        <f>IFERROR(H33*I33,0)</f>
        <v>91450.79999999999</v>
      </c>
      <c r="K33" s="53">
        <f>IFERROR(J33/2,0)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3270.75</v>
      </c>
      <c r="J34" s="52">
        <f>IFERROR(H34*I34,0)</f>
        <v>65415.0</v>
      </c>
      <c r="K34" s="53">
        <f>IFERROR(J34/2,0)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3810.45</v>
      </c>
      <c r="J38" s="52">
        <f>IFERROR(H38*I38,0)</f>
        <v>190522.5</v>
      </c>
      <c r="K38" s="53">
        <f>IFERROR(J38/2,0)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3810.45</v>
      </c>
      <c r="J39" s="52">
        <f>IFERROR(H39*I39,0)</f>
        <v>190522.5</v>
      </c>
      <c r="K39" s="53">
        <f>IFERROR(J39/2,0)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IFERROR(J5/4,0)</f>
        <v>32707.5</v>
      </c>
      <c r="L5" s="54" t="s">
        <v>452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4.0</v>
      </c>
      <c r="H6" s="51">
        <f t="shared" si="1"/>
        <v>800.0</v>
      </c>
      <c r="I6" s="51">
        <f t="array" ref="I6">IFERROR(INDEX('Tasas de Cambio'!$E$11:$E$15,MATCH(E6,'Tasas de Cambio'!$B$11:$B$15,0)),0)</f>
        <v>3810.45</v>
      </c>
      <c r="J6" s="52">
        <f t="shared" si="2"/>
        <v>3048360.0</v>
      </c>
      <c r="K6" s="53">
        <f>IFERROR(J6/4,0)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4.0</v>
      </c>
      <c r="H7" s="51">
        <f>IFERROR(F7*G7,0)</f>
        <v>887940.0</v>
      </c>
      <c r="I7" s="51">
        <f t="array" ref="I7">IFERROR(INDEX('Tasas de Cambio'!$E$11:$E$15,MATCH(E7,'Tasas de Cambio'!$B$11:$B$15,0)),0)</f>
        <v>1.0</v>
      </c>
      <c r="J7" s="52">
        <f>IFERROR(H7*I7,0)</f>
        <v>887940.0</v>
      </c>
      <c r="K7" s="53">
        <f>IFERROR(J7/4,0)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4.0</v>
      </c>
      <c r="H8" s="51">
        <f t="shared" si="1"/>
        <v>5964280.0</v>
      </c>
      <c r="I8" s="51">
        <f t="array" ref="I8">IFERROR(INDEX('Tasas de Cambio'!$E$11:$E$15,MATCH(E8,'Tasas de Cambio'!$B$11:$B$15,0)),0)</f>
        <v>1</v>
      </c>
      <c r="J8" s="52">
        <f t="shared" si="2"/>
        <v>5964280.0</v>
      </c>
      <c r="K8" s="53">
        <f>IFERROR(J8/4,0)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1750000.0</v>
      </c>
      <c r="G9" s="33">
        <v>1.0</v>
      </c>
      <c r="H9" s="51">
        <f>IFERROR(F9*G9,0)</f>
        <v>1750000.0</v>
      </c>
      <c r="I9" s="51">
        <f t="array" ref="I9">IFERROR(INDEX('Tasas de Cambio'!$E$11:$E$15,MATCH(E9,'Tasas de Cambio'!$B$11:$B$15,0)),0)</f>
        <v>1.0</v>
      </c>
      <c r="J9" s="52">
        <f>IFERROR(H9*I9,0)</f>
        <v>1750000.0</v>
      </c>
      <c r="K9" s="53">
        <f>IFERROR(J9/4,0)</f>
        <v>437500.0</v>
      </c>
      <c r="L9" s="54" t="s">
        <v>454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IFERROR(J10/4,0)</f>
        <v>38104.5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4.0</v>
      </c>
      <c r="H11" s="51">
        <f t="shared" si="1"/>
        <v>60.0</v>
      </c>
      <c r="I11" s="51">
        <f t="array" ref="I11">IFERROR(INDEX('Tasas de Cambio'!$E$11:$E$15,MATCH(E11,'Tasas de Cambio'!$B$11:$B$15,0)),0)</f>
        <v>3810.45</v>
      </c>
      <c r="J11" s="52">
        <f t="shared" si="2"/>
        <v>228627.0</v>
      </c>
      <c r="K11" s="53">
        <f>IFERROR(J11/4,0)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4.0</v>
      </c>
      <c r="H12" s="51">
        <f>IFERROR(F12*G12,0)</f>
        <v>40.0</v>
      </c>
      <c r="I12" s="51">
        <f t="array" ref="I12">IFERROR(INDEX('Tasas de Cambio'!$E$11:$E$15,MATCH(E12,'Tasas de Cambio'!$B$11:$B$15,0)),0)</f>
        <v>3270.75</v>
      </c>
      <c r="J12" s="52">
        <f>IFERROR(H12*I12,0)</f>
        <v>130830.0</v>
      </c>
      <c r="K12" s="53">
        <f>IFERROR(J12/4,0)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4.0</v>
      </c>
      <c r="H13" s="51">
        <f t="shared" si="1"/>
        <v>120.0</v>
      </c>
      <c r="I13" s="51">
        <f t="array" ref="I13">IFERROR(INDEX('Tasas de Cambio'!$E$11:$E$15,MATCH(E13,'Tasas de Cambio'!$B$11:$B$15,0)),0)</f>
        <v>3810.45</v>
      </c>
      <c r="J13" s="52">
        <f t="shared" si="2"/>
        <v>457254.0</v>
      </c>
      <c r="K13" s="53">
        <f>IFERROR(J13/4,0)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4.0</v>
      </c>
      <c r="H14" s="51">
        <f>IFERROR(F14*G14,0)</f>
        <v>48.0</v>
      </c>
      <c r="I14" s="51">
        <f t="array" ref="I14">IFERROR(INDEX('Tasas de Cambio'!$E$11:$E$15,MATCH(E14,'Tasas de Cambio'!$B$11:$B$15,0)),0)</f>
        <v>3810.45</v>
      </c>
      <c r="J14" s="52">
        <f>IFERROR(H14*I14,0)</f>
        <v>182901.59999999998</v>
      </c>
      <c r="K14" s="53">
        <f>IFERROR(J14/4,0)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2100.0</v>
      </c>
      <c r="G15" s="33">
        <v>1.0</v>
      </c>
      <c r="H15" s="51">
        <f>IFERROR(F15*G15,0)</f>
        <v>2100.0</v>
      </c>
      <c r="I15" s="51">
        <f t="array" ref="I15">IFERROR(INDEX('Tasas de Cambio'!$E$11:$E$15,MATCH(E15,'Tasas de Cambio'!$B$11:$B$15,0)),0)</f>
        <v>3270.75</v>
      </c>
      <c r="J15" s="52">
        <f>IFERROR(H15*I15,0)</f>
        <v>6868575.0</v>
      </c>
      <c r="K15" s="53">
        <f>IFERROR(J15/4,0)</f>
        <v>1717143.75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>IFERROR(F16*G16,0)</f>
        <v>30.0</v>
      </c>
      <c r="I16" s="51">
        <f t="array" ref="I16">IFERROR(INDEX('Tasas de Cambio'!$E$11:$E$15,MATCH(E16,'Tasas de Cambio'!$B$11:$B$15,0)),0)</f>
        <v>3810.45</v>
      </c>
      <c r="J16" s="52">
        <f>IFERROR(H16*I16,0)</f>
        <v>114313.5</v>
      </c>
      <c r="K16" s="53">
        <f>IFERROR(J16/4,0)</f>
        <v>28578.375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4.0</v>
      </c>
      <c r="H18" s="51">
        <f t="shared" si="1"/>
        <v>40.0</v>
      </c>
      <c r="I18" s="51">
        <f t="array" ref="I18">IFERROR(INDEX('Tasas de Cambio'!$E$11:$E$15,MATCH(E18,'Tasas de Cambio'!$B$11:$B$15,0)),0)</f>
        <v>3810.45</v>
      </c>
      <c r="J18" s="52">
        <f t="shared" si="2"/>
        <v>152418.0</v>
      </c>
      <c r="K18" s="53">
        <f>IFERROR(J18/4,0)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4.0</v>
      </c>
      <c r="H20" s="51">
        <f>IFERROR(F20*G20,0)</f>
        <v>280.0</v>
      </c>
      <c r="I20" s="51">
        <f t="array" ref="I20">IFERROR(INDEX('Tasas de Cambio'!$E$11:$E$15,MATCH(E20,'Tasas de Cambio'!$B$11:$B$15,0)),0)</f>
        <v>3270.75</v>
      </c>
      <c r="J20" s="52">
        <f>IFERROR(H20*I20,0)</f>
        <v>915810.0</v>
      </c>
      <c r="K20" s="53">
        <f>IFERROR(J20/4,0)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4.0</v>
      </c>
      <c r="H21" s="51">
        <f t="shared" si="1"/>
        <v>100.0</v>
      </c>
      <c r="I21" s="51">
        <f t="array" ref="I21">IFERROR(INDEX('Tasas de Cambio'!$E$11:$E$15,MATCH(E21,'Tasas de Cambio'!$B$11:$B$15,0)),0)</f>
        <v>3810.45</v>
      </c>
      <c r="J21" s="52">
        <f t="shared" si="2"/>
        <v>381045.0</v>
      </c>
      <c r="K21" s="53">
        <f>IFERROR(J21/4,0)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4.0</v>
      </c>
      <c r="H22" s="51">
        <f>IFERROR(F22*G22,0)</f>
        <v>568.0</v>
      </c>
      <c r="I22" s="51">
        <f t="array" ref="I22">IFERROR(INDEX('Tasas de Cambio'!$E$11:$E$15,MATCH(E22,'Tasas de Cambio'!$B$11:$B$15,0)),0)</f>
        <v>3270.75</v>
      </c>
      <c r="J22" s="52">
        <f>IFERROR(H22*I22,0)</f>
        <v>1857786.0</v>
      </c>
      <c r="K22" s="53">
        <f>IFERROR(J22/4,0)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4.0</v>
      </c>
      <c r="H23" s="51">
        <f t="shared" si="1"/>
        <v>100.0</v>
      </c>
      <c r="I23" s="51">
        <f t="array" ref="I23">IFERROR(INDEX('Tasas de Cambio'!$E$11:$E$15,MATCH(E23,'Tasas de Cambio'!$B$11:$B$15,0)),0)</f>
        <v>3810.45</v>
      </c>
      <c r="J23" s="52">
        <f t="shared" si="2"/>
        <v>381045.0</v>
      </c>
      <c r="K23" s="53">
        <f>IFERROR(J23/4,0)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4.0</v>
      </c>
      <c r="H26" s="51">
        <f t="shared" si="1"/>
        <v>40.0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IFERROR(J26/4,0)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1000000.0</v>
      </c>
      <c r="G27" s="33">
        <v>1.0</v>
      </c>
      <c r="H27" s="51">
        <f>IFERROR(F27*G27,0)</f>
        <v>1000000.0</v>
      </c>
      <c r="I27" s="51">
        <f t="array" ref="I27">IFERROR(INDEX('Tasas de Cambio'!$E$11:$E$15,MATCH(E27,'Tasas de Cambio'!$B$11:$B$15,0)),0)</f>
        <v>1.0</v>
      </c>
      <c r="J27" s="52">
        <f>IFERROR(H27*I27,0)</f>
        <v>1000000.0</v>
      </c>
      <c r="K27" s="53">
        <f>IFERROR(J27/4,0)</f>
        <v>250000.0</v>
      </c>
      <c r="L27" s="54" t="s">
        <v>453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4.0</v>
      </c>
      <c r="H28" s="51">
        <f>IFERROR(F28*G28,0)</f>
        <v>48.0</v>
      </c>
      <c r="I28" s="51">
        <f t="array" ref="I28">IFERROR(INDEX('Tasas de Cambio'!$E$11:$E$15,MATCH(E28,'Tasas de Cambio'!$B$11:$B$15,0)),0)</f>
        <v>3810.45</v>
      </c>
      <c r="J28" s="52">
        <f>IFERROR(H28*I28,0)</f>
        <v>182901.59999999998</v>
      </c>
      <c r="K28" s="53">
        <f>IFERROR(J28/4,0)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4.0</v>
      </c>
      <c r="H29" s="51">
        <f t="shared" si="1"/>
        <v>120.0</v>
      </c>
      <c r="I29" s="51">
        <f t="array" ref="I29">IFERROR(INDEX('Tasas de Cambio'!$E$11:$E$15,MATCH(E29,'Tasas de Cambio'!$B$11:$B$15,0)),0)</f>
        <v>3810.45</v>
      </c>
      <c r="J29" s="52">
        <f t="shared" si="2"/>
        <v>457254.0</v>
      </c>
      <c r="K29" s="53">
        <f>IFERROR(J29/4,0)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4.0</v>
      </c>
      <c r="H30" s="51">
        <f t="shared" si="1"/>
        <v>5964280.0</v>
      </c>
      <c r="I30" s="51">
        <f t="array" ref="I30">IFERROR(INDEX('Tasas de Cambio'!$E$11:$E$15,MATCH(E30,'Tasas de Cambio'!$B$11:$B$15,0)),0)</f>
        <v>1</v>
      </c>
      <c r="J30" s="52">
        <f t="shared" si="2"/>
        <v>5964280.0</v>
      </c>
      <c r="K30" s="53">
        <f>IFERROR(J30/4,0)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IFERROR(J31/4,0)</f>
        <v>28578.375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4.0</v>
      </c>
      <c r="H32" s="51">
        <f>IFERROR(F32*G32,0)</f>
        <v>40.0</v>
      </c>
      <c r="I32" s="51">
        <f t="array" ref="I32">IFERROR(INDEX('Tasas de Cambio'!$E$11:$E$15,MATCH(E32,'Tasas de Cambio'!$B$11:$B$15,0)),0)</f>
        <v>3810.45</v>
      </c>
      <c r="J32" s="52">
        <f>IFERROR(H32*I32,0)</f>
        <v>152418.0</v>
      </c>
      <c r="K32" s="53">
        <f>IFERROR(J32/4,0)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4.0</v>
      </c>
      <c r="H33" s="51">
        <f>IFERROR(F33*G33,0)</f>
        <v>48.0</v>
      </c>
      <c r="I33" s="51">
        <f t="array" ref="I33">IFERROR(INDEX('Tasas de Cambio'!$E$11:$E$15,MATCH(E33,'Tasas de Cambio'!$B$11:$B$15,0)),0)</f>
        <v>3810.45</v>
      </c>
      <c r="J33" s="52">
        <f>IFERROR(H33*I33,0)</f>
        <v>182901.59999999998</v>
      </c>
      <c r="K33" s="53">
        <f>IFERROR(J33/4,0)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4.0</v>
      </c>
      <c r="H34" s="51">
        <f>IFERROR(F34*G34,0)</f>
        <v>40.0</v>
      </c>
      <c r="I34" s="51">
        <f t="array" ref="I34">IFERROR(INDEX('Tasas de Cambio'!$E$11:$E$15,MATCH(E34,'Tasas de Cambio'!$B$11:$B$15,0)),0)</f>
        <v>3270.75</v>
      </c>
      <c r="J34" s="52">
        <f>IFERROR(H34*I34,0)</f>
        <v>130830.0</v>
      </c>
      <c r="K34" s="53">
        <f>IFERROR(J34/4,0)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4.0</v>
      </c>
      <c r="H38" s="51">
        <f>IFERROR(F38*G38,0)</f>
        <v>100.0</v>
      </c>
      <c r="I38" s="51">
        <f t="array" ref="I38">IFERROR(INDEX('Tasas de Cambio'!$E$11:$E$15,MATCH(E38,'Tasas de Cambio'!$B$11:$B$15,0)),0)</f>
        <v>3810.45</v>
      </c>
      <c r="J38" s="52">
        <f>IFERROR(H38*I38,0)</f>
        <v>381045.0</v>
      </c>
      <c r="K38" s="53">
        <f>IFERROR(J38/4,0)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4.0</v>
      </c>
      <c r="H39" s="51">
        <f>IFERROR(F39*G39,0)</f>
        <v>100.0</v>
      </c>
      <c r="I39" s="51">
        <f t="array" ref="I39">IFERROR(INDEX('Tasas de Cambio'!$E$11:$E$15,MATCH(E39,'Tasas de Cambio'!$B$11:$B$15,0)),0)</f>
        <v>3810.45</v>
      </c>
      <c r="J39" s="52">
        <f>IFERROR(H39*I39,0)</f>
        <v>381045.0</v>
      </c>
      <c r="K39" s="53">
        <f>IFERROR(J39/4,0)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/>
      <c r="B5" s="29"/>
      <c r="C5" s="30"/>
      <c r="D5" s="32"/>
      <c r="E5" s="33"/>
      <c r="F5" s="34"/>
      <c r="G5" s="33"/>
      <c r="H5" s="51"/>
      <c r="I5" s="51"/>
      <c r="J5" s="52"/>
      <c r="K5" s="53"/>
      <c r="L5" s="54"/>
      <c r="M5" s="1"/>
    </row>
    <row r="6" ht="30.0" customHeight="1">
      <c r="A6" s="29"/>
      <c r="B6" s="29"/>
      <c r="C6" s="30"/>
      <c r="D6" s="32"/>
      <c r="E6" s="33"/>
      <c r="F6" s="34"/>
      <c r="G6" s="33"/>
      <c r="H6" s="51"/>
      <c r="I6" s="51"/>
      <c r="J6" s="52"/>
      <c r="K6" s="53"/>
      <c r="L6" s="54"/>
      <c r="M6" s="1"/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471</v>
      </c>
      <c r="C12" s="30" t="s">
        <v>456</v>
      </c>
      <c r="D12" s="32" t="s">
        <v>472</v>
      </c>
      <c r="E12" s="33" t="s">
        <v>55</v>
      </c>
      <c r="F12" s="34">
        <v>1500000.0</v>
      </c>
      <c r="G12" s="33">
        <v>3.0</v>
      </c>
      <c r="H12" s="51">
        <f>IFERROR(F12*G12,0)</f>
        <v>4500000.0</v>
      </c>
      <c r="I12" s="51">
        <f t="array" ref="I12">IFERROR(INDEX('Tasas de Cambio'!$E$11:$E$15,MATCH(E12,'Tasas de Cambio'!$B$11:$B$15,0)),0)</f>
        <v>1.0</v>
      </c>
      <c r="J12" s="52">
        <f>IFERROR(H12*I12,0)</f>
        <v>4500000.0</v>
      </c>
      <c r="K12" s="53">
        <f>IFERROR(J12/'Tasas de Cambio'!$C$5,0)</f>
        <v>1500000.0</v>
      </c>
      <c r="L12" s="54" t="s">
        <v>486</v>
      </c>
      <c r="M12" s="1" t="s">
        <v>414</v>
      </c>
    </row>
    <row r="13" ht="18.0" customHeight="1">
      <c r="A13" s="29" t="s">
        <v>14</v>
      </c>
      <c r="B13" s="29" t="s">
        <v>209</v>
      </c>
      <c r="C13" s="30" t="s">
        <v>459</v>
      </c>
      <c r="D13" s="32" t="s">
        <v>473</v>
      </c>
      <c r="E13" s="33" t="s">
        <v>12</v>
      </c>
      <c r="F13" s="34">
        <v>30.0</v>
      </c>
      <c r="G13" s="33">
        <v>1.0</v>
      </c>
      <c r="H13" s="51">
        <f>IFERROR(F13*G13,0)</f>
        <v>30.0</v>
      </c>
      <c r="I13" s="51">
        <f t="array" ref="I13">IFERROR(INDEX('Tasas de Cambio'!$E$11:$E$15,MATCH(E13,'Tasas de Cambio'!$B$11:$B$15,0)),0)</f>
        <v>3810.45</v>
      </c>
      <c r="J13" s="52">
        <f>IFERROR(H13*I13,0)</f>
        <v>114313.5</v>
      </c>
      <c r="K13" s="53">
        <f>IFERROR(J13/'Tasas de Cambio'!$C$5,0)</f>
        <v>38104.5</v>
      </c>
      <c r="L13" s="54" t="s">
        <v>491</v>
      </c>
      <c r="M13" s="1" t="s">
        <v>414</v>
      </c>
    </row>
    <row r="14" ht="15.0" customHeight="1">
      <c r="A14" s="29" t="s">
        <v>36</v>
      </c>
      <c r="B14" s="29" t="s">
        <v>474</v>
      </c>
      <c r="C14" s="30" t="s">
        <v>498</v>
      </c>
      <c r="D14" s="32" t="s">
        <v>499</v>
      </c>
      <c r="E14" s="33" t="s">
        <v>55</v>
      </c>
      <c r="F14" s="34">
        <v>2020000.0</v>
      </c>
      <c r="G14" s="33">
        <v>1.0</v>
      </c>
      <c r="H14" s="51">
        <f>IFERROR(F14*G14,0)</f>
        <v>2020000.0</v>
      </c>
      <c r="I14" s="51">
        <f t="array" ref="I14">IFERROR(INDEX('Tasas de Cambio'!$E$11:$E$15,MATCH(E14,'Tasas de Cambio'!$B$11:$B$15,0)),0)</f>
        <v>1.0</v>
      </c>
      <c r="J14" s="52">
        <f>IFERROR(H14*I14,0)</f>
        <v>2020000.0</v>
      </c>
      <c r="K14" s="53">
        <f>IFERROR(J14/'Tasas de Cambio'!$C$5,0)</f>
        <v>673333.3333333334</v>
      </c>
      <c r="L14" s="54" t="s">
        <v>533</v>
      </c>
      <c r="M14" s="1" t="s">
        <v>520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11</v>
      </c>
      <c r="B16" s="29" t="s">
        <v>503</v>
      </c>
      <c r="C16" s="30" t="s">
        <v>147</v>
      </c>
      <c r="D16" s="32" t="s">
        <v>504</v>
      </c>
      <c r="E16" s="33" t="s">
        <v>12</v>
      </c>
      <c r="F16" s="34">
        <v>25.0</v>
      </c>
      <c r="G16" s="33">
        <v>3.0</v>
      </c>
      <c r="H16" s="51">
        <f>IFERROR(F16*G16,0)</f>
        <v>75.0</v>
      </c>
      <c r="I16" s="51">
        <f t="array" ref="I16">IFERROR(INDEX('Tasas de Cambio'!$E$11:$E$15,MATCH(E16,'Tasas de Cambio'!$B$11:$B$15,0)),0)</f>
        <v>3810.45</v>
      </c>
      <c r="J16" s="52">
        <f>IFERROR(H16*I16,0)</f>
        <v>285783.75</v>
      </c>
      <c r="K16" s="53">
        <f>IFERROR(J16/'Tasas de Cambio'!$C$5,0)</f>
        <v>95261.25</v>
      </c>
      <c r="L16" s="54" t="s">
        <v>505</v>
      </c>
      <c r="M16" s="1" t="s">
        <v>497</v>
      </c>
    </row>
    <row r="17" ht="30.0" customHeight="1">
      <c r="A17" s="29" t="s">
        <v>57</v>
      </c>
      <c r="B17" s="29" t="s">
        <v>477</v>
      </c>
      <c r="C17" s="30" t="s">
        <v>433</v>
      </c>
      <c r="D17" s="32" t="s">
        <v>484</v>
      </c>
      <c r="E17" s="33" t="s">
        <v>97</v>
      </c>
      <c r="F17" s="34">
        <v>250.0</v>
      </c>
      <c r="G17" s="33">
        <v>3.0</v>
      </c>
      <c r="H17" s="51">
        <f>IFERROR(F17*G17,0)</f>
        <v>750.0</v>
      </c>
      <c r="I17" s="51">
        <f t="array" ref="I17">IFERROR(INDEX('Tasas de Cambio'!$E$11:$E$15,MATCH(E17,'Tasas de Cambio'!$B$11:$B$15,0)),0)</f>
        <v>3270.75</v>
      </c>
      <c r="J17" s="52">
        <f>IFERROR(H17*I17,0)</f>
        <v>2453062.5</v>
      </c>
      <c r="K17" s="53">
        <f>IFERROR(J17/'Tasas de Cambio'!$C$5,0)</f>
        <v>817687.5</v>
      </c>
      <c r="L17" s="54" t="s">
        <v>485</v>
      </c>
      <c r="M17" s="1" t="s">
        <v>414</v>
      </c>
    </row>
    <row r="18" ht="30.0" customHeight="1">
      <c r="A18" s="29" t="s">
        <v>59</v>
      </c>
      <c r="B18" s="29" t="s">
        <v>477</v>
      </c>
      <c r="C18" s="30" t="s">
        <v>433</v>
      </c>
      <c r="D18" s="32" t="s">
        <v>437</v>
      </c>
      <c r="E18" s="33" t="s">
        <v>12</v>
      </c>
      <c r="F18" s="34">
        <v>40.0</v>
      </c>
      <c r="G18" s="33">
        <v>3.0</v>
      </c>
      <c r="H18" s="51">
        <f>IFERROR(F18*G18,0)</f>
        <v>120.0</v>
      </c>
      <c r="I18" s="51">
        <f t="array" ref="I18">IFERROR(INDEX('Tasas de Cambio'!$E$11:$E$15,MATCH(E18,'Tasas de Cambio'!$B$11:$B$15,0)),0)</f>
        <v>3810.45</v>
      </c>
      <c r="J18" s="52">
        <f>IFERROR(H18*I18,0)</f>
        <v>457254.0</v>
      </c>
      <c r="K18" s="53">
        <f>IFERROR(J18/'Tasas de Cambio'!$C$5,0)</f>
        <v>152418.0</v>
      </c>
      <c r="L18" s="54" t="s">
        <v>470</v>
      </c>
      <c r="M18" s="1" t="s">
        <v>414</v>
      </c>
    </row>
    <row r="19" ht="30.0" customHeight="1">
      <c r="A19" s="29"/>
      <c r="B19" s="29"/>
      <c r="C19" s="30"/>
      <c r="D19" s="32"/>
      <c r="E19" s="33"/>
      <c r="F19" s="34"/>
      <c r="G19" s="33"/>
      <c r="H19" s="51"/>
      <c r="I19" s="51"/>
      <c r="J19" s="52"/>
      <c r="K19" s="53"/>
      <c r="L19" s="54"/>
      <c r="M19" s="1"/>
    </row>
    <row r="20" ht="30.0" customHeight="1">
      <c r="A20" s="29" t="s">
        <v>59</v>
      </c>
      <c r="B20" s="29" t="s">
        <v>477</v>
      </c>
      <c r="C20" s="30" t="s">
        <v>444</v>
      </c>
      <c r="D20" s="32" t="s">
        <v>437</v>
      </c>
      <c r="E20" s="33" t="s">
        <v>12</v>
      </c>
      <c r="F20" s="34">
        <v>40.0</v>
      </c>
      <c r="G20" s="33">
        <v>3.0</v>
      </c>
      <c r="H20" s="51">
        <f>IFERROR(F20*G20,0)</f>
        <v>120.0</v>
      </c>
      <c r="I20" s="51">
        <f t="array" ref="I20">IFERROR(INDEX('Tasas de Cambio'!$E$11:$E$15,MATCH(E20,'Tasas de Cambio'!$B$11:$B$15,0)),0)</f>
        <v>3810.45</v>
      </c>
      <c r="J20" s="52">
        <f>IFERROR(H20*I20,0)</f>
        <v>457254.0</v>
      </c>
      <c r="K20" s="53">
        <f>IFERROR(J20/'Tasas de Cambio'!$C$5,0)</f>
        <v>152418.0</v>
      </c>
      <c r="L20" s="54" t="s">
        <v>470</v>
      </c>
      <c r="M20" s="1" t="s">
        <v>414</v>
      </c>
    </row>
    <row r="21" ht="30.0" customHeight="1">
      <c r="A21" s="29" t="s">
        <v>57</v>
      </c>
      <c r="B21" s="29" t="s">
        <v>477</v>
      </c>
      <c r="C21" s="30" t="s">
        <v>134</v>
      </c>
      <c r="D21" s="32" t="s">
        <v>480</v>
      </c>
      <c r="E21" s="33" t="s">
        <v>12</v>
      </c>
      <c r="F21" s="34">
        <v>16.0</v>
      </c>
      <c r="G21" s="33">
        <v>3.0</v>
      </c>
      <c r="H21" s="51">
        <f>IFERROR(F21*G21,0)</f>
        <v>48.0</v>
      </c>
      <c r="I21" s="51">
        <f t="array" ref="I21">IFERROR(INDEX('Tasas de Cambio'!$E$11:$E$15,MATCH(E21,'Tasas de Cambio'!$B$11:$B$15,0)),0)</f>
        <v>3810.45</v>
      </c>
      <c r="J21" s="52">
        <f>IFERROR(H21*I21,0)</f>
        <v>182901.59999999998</v>
      </c>
      <c r="K21" s="53">
        <f>IFERROR(J21/'Tasas de Cambio'!$C$5,0)</f>
        <v>60967.19999999999</v>
      </c>
      <c r="L21" s="54" t="s">
        <v>496</v>
      </c>
      <c r="M21" s="1" t="s">
        <v>520</v>
      </c>
    </row>
    <row r="22" ht="18.0" customHeight="1">
      <c r="A22" s="29" t="s">
        <v>59</v>
      </c>
      <c r="B22" s="29" t="s">
        <v>516</v>
      </c>
      <c r="C22" s="30" t="s">
        <v>445</v>
      </c>
      <c r="D22" s="32" t="s">
        <v>437</v>
      </c>
      <c r="E22" s="33" t="s">
        <v>12</v>
      </c>
      <c r="F22" s="34">
        <v>40.0</v>
      </c>
      <c r="G22" s="33">
        <v>3.0</v>
      </c>
      <c r="H22" s="51">
        <f>IFERROR(F22*G22,0)</f>
        <v>120.0</v>
      </c>
      <c r="I22" s="51">
        <f t="array" ref="I22">IFERROR(INDEX('Tasas de Cambio'!$E$11:$E$15,MATCH(E22,'Tasas de Cambio'!$B$11:$B$15,0)),0)</f>
        <v>3810.45</v>
      </c>
      <c r="J22" s="52">
        <f>IFERROR(H22*I22,0)</f>
        <v>457254.0</v>
      </c>
      <c r="K22" s="53">
        <f>IFERROR(J22/'Tasas de Cambio'!$C$5,0)</f>
        <v>152418.0</v>
      </c>
      <c r="L22" s="54" t="s">
        <v>470</v>
      </c>
      <c r="M22" s="1" t="s">
        <v>497</v>
      </c>
    </row>
    <row r="23" ht="15.75" customHeight="1">
      <c r="A23" s="29" t="s">
        <v>59</v>
      </c>
      <c r="B23" s="29" t="s">
        <v>516</v>
      </c>
      <c r="C23" s="30" t="s">
        <v>446</v>
      </c>
      <c r="D23" s="32" t="s">
        <v>437</v>
      </c>
      <c r="E23" s="33" t="s">
        <v>12</v>
      </c>
      <c r="F23" s="34">
        <v>40.0</v>
      </c>
      <c r="G23" s="33">
        <v>3.0</v>
      </c>
      <c r="H23" s="51">
        <f>IFERROR(F23*G23,0)</f>
        <v>120.0</v>
      </c>
      <c r="I23" s="51">
        <f t="array" ref="I23">IFERROR(INDEX('Tasas de Cambio'!$E$11:$E$15,MATCH(E23,'Tasas de Cambio'!$B$11:$B$15,0)),0)</f>
        <v>3810.45</v>
      </c>
      <c r="J23" s="52">
        <f>IFERROR(H23*I23,0)</f>
        <v>457254.0</v>
      </c>
      <c r="K23" s="53">
        <f>IFERROR(J23/'Tasas de Cambio'!$C$5,0)</f>
        <v>152418.0</v>
      </c>
      <c r="L23" s="54" t="s">
        <v>470</v>
      </c>
      <c r="M23" s="1" t="s">
        <v>497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511</v>
      </c>
      <c r="C25" s="30" t="s">
        <v>409</v>
      </c>
      <c r="D25" s="32" t="s">
        <v>512</v>
      </c>
      <c r="E25" s="33" t="s">
        <v>12</v>
      </c>
      <c r="F25" s="34">
        <v>25.0</v>
      </c>
      <c r="G25" s="33">
        <v>3.0</v>
      </c>
      <c r="H25" s="51">
        <f>IFERROR(F25*G25,0)</f>
        <v>75.0</v>
      </c>
      <c r="I25" s="51">
        <f t="array" ref="I25">IFERROR(INDEX('Tasas de Cambio'!$E$11:$E$15,MATCH(E25,'Tasas de Cambio'!$B$11:$B$15,0)),0)</f>
        <v>3810.45</v>
      </c>
      <c r="J25" s="52">
        <f>IFERROR(H25*I25,0)</f>
        <v>285783.75</v>
      </c>
      <c r="K25" s="53">
        <f>IFERROR(J25/'Tasas de Cambio'!$C$5,0)</f>
        <v>95261.25</v>
      </c>
      <c r="L25" s="54" t="s">
        <v>513</v>
      </c>
      <c r="M25" s="1" t="s">
        <v>497</v>
      </c>
    </row>
    <row r="26" ht="30.0" customHeight="1">
      <c r="A26" s="29" t="s">
        <v>14</v>
      </c>
      <c r="B26" s="29" t="s">
        <v>209</v>
      </c>
      <c r="C26" s="30" t="s">
        <v>147</v>
      </c>
      <c r="D26" s="32" t="s">
        <v>501</v>
      </c>
      <c r="E26" s="33" t="s">
        <v>12</v>
      </c>
      <c r="F26" s="34">
        <v>15.0</v>
      </c>
      <c r="G26" s="33">
        <v>1.0</v>
      </c>
      <c r="H26" s="51">
        <f>IFERROR(F26*G26,0)</f>
        <v>15.0</v>
      </c>
      <c r="I26" s="51">
        <f t="array" ref="I26">IFERROR(INDEX('Tasas de Cambio'!$E$11:$E$15,MATCH(E26,'Tasas de Cambio'!$B$11:$B$15,0)),0)</f>
        <v>3810.45</v>
      </c>
      <c r="J26" s="52">
        <f>IFERROR(H26*I26,0)</f>
        <v>57156.75</v>
      </c>
      <c r="K26" s="53">
        <f>IFERROR(J26/'Tasas de Cambio'!$C$5,0)</f>
        <v>19052.25</v>
      </c>
      <c r="L26" s="54" t="s">
        <v>502</v>
      </c>
      <c r="M26" s="1" t="s">
        <v>497</v>
      </c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 t="s">
        <v>417</v>
      </c>
      <c r="D49" s="32" t="s">
        <v>335</v>
      </c>
      <c r="E49" s="33" t="s">
        <v>55</v>
      </c>
      <c r="F49" s="34">
        <v>1500000.0</v>
      </c>
      <c r="G49" s="33">
        <v>3.0</v>
      </c>
      <c r="H49" s="51">
        <f>IFERROR(F49*G49,0)</f>
        <v>4500000.0</v>
      </c>
      <c r="I49" s="51">
        <f t="array" ref="I49">IFERROR(INDEX('Tasas de Cambio'!$E$11:$E$15,MATCH(E49,'Tasas de Cambio'!$B$11:$B$15,0)),0)</f>
        <v>1.0</v>
      </c>
      <c r="J49" s="52">
        <f>IFERROR(H49*I49,0)</f>
        <v>4500000.0</v>
      </c>
      <c r="K49" s="53">
        <f>IFERROR(J49/'Tasas de Cambio'!$C$5,0)</f>
        <v>1500000.0</v>
      </c>
      <c r="L49" s="54" t="s">
        <v>487</v>
      </c>
      <c r="M49" s="1" t="s">
        <v>414</v>
      </c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29" t="s">
        <v>14</v>
      </c>
      <c r="B58" s="29" t="s">
        <v>209</v>
      </c>
      <c r="C58" s="30" t="s">
        <v>147</v>
      </c>
      <c r="D58" s="32" t="s">
        <v>506</v>
      </c>
      <c r="E58" s="33" t="s">
        <v>12</v>
      </c>
      <c r="F58" s="34">
        <v>12.0</v>
      </c>
      <c r="G58" s="33">
        <v>1.0</v>
      </c>
      <c r="H58" s="51">
        <f>IFERROR(F58*G58,0)</f>
        <v>12.0</v>
      </c>
      <c r="I58" s="51">
        <f t="array" ref="I58">IFERROR(INDEX('Tasas de Cambio'!$E$11:$E$15,MATCH(E58,'Tasas de Cambio'!$B$11:$B$15,0)),0)</f>
        <v>3810.45</v>
      </c>
      <c r="J58" s="52">
        <f>IFERROR(H58*I58,0)</f>
        <v>45725.399999999994</v>
      </c>
      <c r="K58" s="53">
        <f>IFERROR(J58/'Tasas de Cambio'!$C$5,0)</f>
        <v>15241.799999999997</v>
      </c>
      <c r="L58" s="54" t="s">
        <v>507</v>
      </c>
      <c r="M58" s="1" t="s">
        <v>497</v>
      </c>
    </row>
    <row r="59" ht="15.75" customHeight="1">
      <c r="A59" s="29"/>
      <c r="B59" s="29"/>
      <c r="C59" s="30"/>
      <c r="D59" s="32"/>
      <c r="E59" s="33"/>
      <c r="F59" s="34"/>
      <c r="G59" s="33"/>
      <c r="H59" s="51"/>
      <c r="I59" s="51"/>
      <c r="J59" s="52"/>
      <c r="K59" s="53"/>
      <c r="L59" s="54"/>
      <c r="M59" s="1"/>
    </row>
    <row r="60" ht="18.0" customHeight="1">
      <c r="A60" s="29" t="s">
        <v>36</v>
      </c>
      <c r="B60" s="29" t="s">
        <v>508</v>
      </c>
      <c r="C60" s="30" t="s">
        <v>509</v>
      </c>
      <c r="D60" s="32" t="s">
        <v>510</v>
      </c>
      <c r="E60" s="33" t="s">
        <v>55</v>
      </c>
      <c r="F60" s="34">
        <v>1500000.0</v>
      </c>
      <c r="G60" s="33">
        <v>1.0</v>
      </c>
      <c r="H60" s="51">
        <f>IFERROR(F60*G60,0)</f>
        <v>1500000.0</v>
      </c>
      <c r="I60" s="51">
        <f t="array" ref="I60">IFERROR(INDEX('Tasas de Cambio'!$E$11:$E$15,MATCH(E60,'Tasas de Cambio'!$B$11:$B$15,0)),0)</f>
        <v>1.0</v>
      </c>
      <c r="J60" s="52">
        <f>IFERROR(H60*I60,0)</f>
        <v>1500000.0</v>
      </c>
      <c r="K60" s="53">
        <f>IFERROR(J60/'Tasas de Cambio'!$C$5,0)</f>
        <v>500000.0</v>
      </c>
      <c r="L60" s="54" t="s">
        <v>534</v>
      </c>
      <c r="M60" s="1" t="s">
        <v>520</v>
      </c>
    </row>
    <row r="61" ht="30.0" customHeight="1">
      <c r="A61" s="29" t="s">
        <v>14</v>
      </c>
      <c r="B61" s="29" t="s">
        <v>209</v>
      </c>
      <c r="C61" s="30" t="s">
        <v>154</v>
      </c>
      <c r="D61" s="32" t="s">
        <v>514</v>
      </c>
      <c r="E61" s="33" t="s">
        <v>12</v>
      </c>
      <c r="F61" s="34">
        <v>20.0</v>
      </c>
      <c r="G61" s="33">
        <v>1.0</v>
      </c>
      <c r="H61" s="51">
        <f>IFERROR(F61*G61,0)</f>
        <v>20.0</v>
      </c>
      <c r="I61" s="51">
        <f t="array" ref="I61">IFERROR(INDEX('Tasas de Cambio'!$E$11:$E$15,MATCH(E61,'Tasas de Cambio'!$B$11:$B$15,0)),0)</f>
        <v>3810.45</v>
      </c>
      <c r="J61" s="52">
        <f>IFERROR(H61*I61,0)</f>
        <v>76209.0</v>
      </c>
      <c r="K61" s="53">
        <f>IFERROR(J61/'Tasas de Cambio'!$C$5,0)</f>
        <v>25403.0</v>
      </c>
      <c r="L61" s="54" t="s">
        <v>515</v>
      </c>
      <c r="M61" s="1" t="s">
        <v>497</v>
      </c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471</v>
      </c>
      <c r="C6" s="30" t="s">
        <v>428</v>
      </c>
      <c r="D6" s="32" t="s">
        <v>472</v>
      </c>
      <c r="E6" s="33" t="s">
        <v>55</v>
      </c>
      <c r="F6" s="34">
        <v>1670000.0</v>
      </c>
      <c r="G6" s="33">
        <v>3.0</v>
      </c>
      <c r="H6" s="51">
        <f>IFERROR(F6*G6,0)</f>
        <v>5010000.0</v>
      </c>
      <c r="I6" s="51">
        <f t="array" ref="I6">IFERROR(INDEX('Tasas de Cambio'!$E$11:$E$15,MATCH(E6,'Tasas de Cambio'!$B$11:$B$15,0)),0)</f>
        <v>1.0</v>
      </c>
      <c r="J6" s="52">
        <f>IFERROR(H6*I6,0)</f>
        <v>5010000.0</v>
      </c>
      <c r="K6" s="53">
        <f>IFERROR(J6/'Tasas de Cambio'!$C$5,0)</f>
        <v>1670000.0</v>
      </c>
      <c r="L6" s="54" t="s">
        <v>526</v>
      </c>
      <c r="M6" s="1" t="s">
        <v>520</v>
      </c>
    </row>
    <row r="7" ht="30.0" customHeight="1">
      <c r="A7" s="29" t="s">
        <v>14</v>
      </c>
      <c r="B7" s="29" t="s">
        <v>209</v>
      </c>
      <c r="C7" s="30" t="s">
        <v>107</v>
      </c>
      <c r="D7" s="32" t="s">
        <v>473</v>
      </c>
      <c r="E7" s="33" t="s">
        <v>12</v>
      </c>
      <c r="F7" s="34">
        <v>30.0</v>
      </c>
      <c r="G7" s="33">
        <v>1.0</v>
      </c>
      <c r="H7" s="51">
        <f>IFERROR(F7*G7,0)</f>
        <v>30.0</v>
      </c>
      <c r="I7" s="51">
        <f t="array" ref="I7">IFERROR(INDEX('Tasas de Cambio'!$E$11:$E$15,MATCH(E7,'Tasas de Cambio'!$B$11:$B$15,0)),0)</f>
        <v>3810.45</v>
      </c>
      <c r="J7" s="52">
        <f>IFERROR(H7*I7,0)</f>
        <v>114313.5</v>
      </c>
      <c r="K7" s="53">
        <f>IFERROR(J7/'Tasas de Cambio'!$C$5,0)</f>
        <v>38104.5</v>
      </c>
      <c r="L7" s="54" t="s">
        <v>491</v>
      </c>
      <c r="M7" s="1" t="s">
        <v>520</v>
      </c>
    </row>
    <row r="8" ht="30.0" customHeight="1">
      <c r="A8" s="29" t="s">
        <v>36</v>
      </c>
      <c r="B8" s="29" t="s">
        <v>474</v>
      </c>
      <c r="C8" s="30" t="s">
        <v>114</v>
      </c>
      <c r="D8" s="32" t="s">
        <v>499</v>
      </c>
      <c r="E8" s="33" t="s">
        <v>55</v>
      </c>
      <c r="F8" s="34">
        <v>2220000.0</v>
      </c>
      <c r="G8" s="33">
        <v>1.0</v>
      </c>
      <c r="H8" s="51">
        <f>IFERROR(F8*G8,0)</f>
        <v>2220000.0</v>
      </c>
      <c r="I8" s="51">
        <f t="array" ref="I8">IFERROR(INDEX('Tasas de Cambio'!$E$11:$E$15,MATCH(E8,'Tasas de Cambio'!$B$11:$B$15,0)),0)</f>
        <v>1.0</v>
      </c>
      <c r="J8" s="52">
        <f>IFERROR(H8*I8,0)</f>
        <v>2220000.0</v>
      </c>
      <c r="K8" s="53">
        <f>IFERROR(J8/'Tasas de Cambio'!$C$5,0)</f>
        <v>740000.0</v>
      </c>
      <c r="L8" s="54" t="s">
        <v>500</v>
      </c>
      <c r="M8" s="1" t="s">
        <v>520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477</v>
      </c>
      <c r="C11" s="30" t="s">
        <v>125</v>
      </c>
      <c r="D11" s="32" t="s">
        <v>437</v>
      </c>
      <c r="E11" s="33" t="s">
        <v>12</v>
      </c>
      <c r="F11" s="34">
        <v>40.0</v>
      </c>
      <c r="G11" s="33">
        <v>3.0</v>
      </c>
      <c r="H11" s="51">
        <f>IFERROR(F11*G11,0)</f>
        <v>120.0</v>
      </c>
      <c r="I11" s="51">
        <f t="array" ref="I11">IFERROR(INDEX('Tasas de Cambio'!$E$11:$E$15,MATCH(E11,'Tasas de Cambio'!$B$11:$B$15,0)),0)</f>
        <v>3810.45</v>
      </c>
      <c r="J11" s="52">
        <f>IFERROR(H11*I11,0)</f>
        <v>457254.0</v>
      </c>
      <c r="K11" s="53">
        <f>IFERROR(J11/'Tasas de Cambio'!$C$5,0)</f>
        <v>152418.0</v>
      </c>
      <c r="L11" s="54" t="s">
        <v>470</v>
      </c>
      <c r="M11" s="1" t="s">
        <v>520</v>
      </c>
    </row>
    <row r="12" ht="30.0" customHeight="1">
      <c r="A12" s="29" t="s">
        <v>57</v>
      </c>
      <c r="B12" s="29" t="s">
        <v>477</v>
      </c>
      <c r="C12" s="30" t="s">
        <v>125</v>
      </c>
      <c r="D12" s="32" t="s">
        <v>480</v>
      </c>
      <c r="E12" s="33" t="s">
        <v>12</v>
      </c>
      <c r="F12" s="34">
        <v>16.0</v>
      </c>
      <c r="G12" s="33">
        <v>3.0</v>
      </c>
      <c r="H12" s="51">
        <f>IFERROR(F12*G12,0)</f>
        <v>48.0</v>
      </c>
      <c r="I12" s="51">
        <f t="array" ref="I12">IFERROR(INDEX('Tasas de Cambio'!$E$11:$E$15,MATCH(E12,'Tasas de Cambio'!$B$11:$B$15,0)),0)</f>
        <v>3810.45</v>
      </c>
      <c r="J12" s="52">
        <f>IFERROR(H12*I12,0)</f>
        <v>182901.59999999998</v>
      </c>
      <c r="K12" s="53">
        <f>IFERROR(J12/'Tasas de Cambio'!$C$5,0)</f>
        <v>60967.19999999999</v>
      </c>
      <c r="L12" s="54" t="s">
        <v>496</v>
      </c>
      <c r="M12" s="1" t="s">
        <v>520</v>
      </c>
    </row>
    <row r="13" ht="18.0" customHeight="1">
      <c r="A13" s="29" t="s">
        <v>57</v>
      </c>
      <c r="B13" s="29" t="s">
        <v>477</v>
      </c>
      <c r="C13" s="30" t="s">
        <v>130</v>
      </c>
      <c r="D13" s="32" t="s">
        <v>484</v>
      </c>
      <c r="E13" s="33" t="s">
        <v>97</v>
      </c>
      <c r="F13" s="34">
        <v>250.0</v>
      </c>
      <c r="G13" s="33">
        <v>3.0</v>
      </c>
      <c r="H13" s="51">
        <f>IFERROR(F13*G13,0)</f>
        <v>750.0</v>
      </c>
      <c r="I13" s="51">
        <f t="array" ref="I13">IFERROR(INDEX('Tasas de Cambio'!$E$11:$E$15,MATCH(E13,'Tasas de Cambio'!$B$11:$B$15,0)),0)</f>
        <v>3270.75</v>
      </c>
      <c r="J13" s="52">
        <f>IFERROR(H13*I13,0)</f>
        <v>2453062.5</v>
      </c>
      <c r="K13" s="53">
        <f>IFERROR(J13/'Tasas de Cambio'!$C$5,0)</f>
        <v>817687.5</v>
      </c>
      <c r="L13" s="54" t="s">
        <v>485</v>
      </c>
      <c r="M13" s="1" t="s">
        <v>520</v>
      </c>
    </row>
    <row r="14" ht="15.0" customHeight="1">
      <c r="A14" s="29" t="s">
        <v>59</v>
      </c>
      <c r="B14" s="29" t="s">
        <v>477</v>
      </c>
      <c r="C14" s="30" t="s">
        <v>130</v>
      </c>
      <c r="D14" s="32" t="s">
        <v>437</v>
      </c>
      <c r="E14" s="33" t="s">
        <v>12</v>
      </c>
      <c r="F14" s="34">
        <v>40.0</v>
      </c>
      <c r="G14" s="33">
        <v>3.0</v>
      </c>
      <c r="H14" s="51">
        <f>IFERROR(F14*G14,0)</f>
        <v>120.0</v>
      </c>
      <c r="I14" s="51">
        <f t="array" ref="I14">IFERROR(INDEX('Tasas de Cambio'!$E$11:$E$15,MATCH(E14,'Tasas de Cambio'!$B$11:$B$15,0)),0)</f>
        <v>3810.45</v>
      </c>
      <c r="J14" s="52">
        <f>IFERROR(H14*I14,0)</f>
        <v>457254.0</v>
      </c>
      <c r="K14" s="53">
        <f>IFERROR(J14/'Tasas de Cambio'!$C$5,0)</f>
        <v>152418.0</v>
      </c>
      <c r="L14" s="54" t="s">
        <v>470</v>
      </c>
      <c r="M14" s="1" t="s">
        <v>520</v>
      </c>
    </row>
    <row r="15" ht="18.0" customHeight="1">
      <c r="A15" s="29" t="s">
        <v>11</v>
      </c>
      <c r="B15" s="29" t="s">
        <v>521</v>
      </c>
      <c r="C15" s="30" t="s">
        <v>134</v>
      </c>
      <c r="D15" s="32" t="s">
        <v>522</v>
      </c>
      <c r="E15" s="33" t="s">
        <v>12</v>
      </c>
      <c r="F15" s="34">
        <v>102.0</v>
      </c>
      <c r="G15" s="33">
        <v>3.0</v>
      </c>
      <c r="H15" s="51">
        <f>IFERROR(F15*G15,0)</f>
        <v>306.0</v>
      </c>
      <c r="I15" s="51">
        <f t="array" ref="I15">IFERROR(INDEX('Tasas de Cambio'!$E$11:$E$15,MATCH(E15,'Tasas de Cambio'!$B$11:$B$15,0)),0)</f>
        <v>3810.45</v>
      </c>
      <c r="J15" s="52">
        <f>IFERROR(H15*I15,0)</f>
        <v>1165997.7</v>
      </c>
      <c r="K15" s="53">
        <f>IFERROR(J15/'Tasas de Cambio'!$C$5,0)</f>
        <v>388665.89999999997</v>
      </c>
      <c r="L15" s="54" t="s">
        <v>531</v>
      </c>
      <c r="M15" s="1" t="s">
        <v>520</v>
      </c>
    </row>
    <row r="16" ht="30.0" customHeight="1">
      <c r="A16" s="29" t="s">
        <v>14</v>
      </c>
      <c r="B16" s="29" t="s">
        <v>209</v>
      </c>
      <c r="C16" s="30" t="s">
        <v>134</v>
      </c>
      <c r="D16" s="32" t="s">
        <v>483</v>
      </c>
      <c r="E16" s="33" t="s">
        <v>12</v>
      </c>
      <c r="F16" s="34">
        <v>10.0</v>
      </c>
      <c r="G16" s="33">
        <v>3.0</v>
      </c>
      <c r="H16" s="51">
        <f>IFERROR(F16*G16,0)</f>
        <v>30.0</v>
      </c>
      <c r="I16" s="51">
        <f t="array" ref="I16">IFERROR(INDEX('Tasas de Cambio'!$E$11:$E$15,MATCH(E16,'Tasas de Cambio'!$B$11:$B$15,0)),0)</f>
        <v>3810.45</v>
      </c>
      <c r="J16" s="52">
        <f>IFERROR(H16*I16,0)</f>
        <v>114313.5</v>
      </c>
      <c r="K16" s="53">
        <f>IFERROR(J16/'Tasas de Cambio'!$C$5,0)</f>
        <v>38104.5</v>
      </c>
      <c r="L16" s="54" t="s">
        <v>491</v>
      </c>
      <c r="M16" s="1" t="s">
        <v>520</v>
      </c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12.33</v>
      </c>
      <c r="G17" s="33">
        <v>3.0</v>
      </c>
      <c r="H17" s="51">
        <f>IFERROR(F17*G17,0)</f>
        <v>36.99</v>
      </c>
      <c r="I17" s="51">
        <f t="array" ref="I17">IFERROR(INDEX('Tasas de Cambio'!$E$11:$E$15,MATCH(E17,'Tasas de Cambio'!$B$11:$B$15,0)),0)</f>
        <v>3810.45</v>
      </c>
      <c r="J17" s="52">
        <f>IFERROR(H17*I17,0)</f>
        <v>140948.5455</v>
      </c>
      <c r="K17" s="53">
        <f>IFERROR(J17/'Tasas de Cambio'!$C$5,0)</f>
        <v>46982.8485</v>
      </c>
      <c r="L17" s="54" t="s">
        <v>532</v>
      </c>
      <c r="M17" s="1" t="s">
        <v>520</v>
      </c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1670000.0</v>
      </c>
      <c r="G78" s="33">
        <v>3.0</v>
      </c>
      <c r="H78" s="51">
        <f>IFERROR(F78*G78,0)</f>
        <v>5010000.0</v>
      </c>
      <c r="I78" s="51">
        <f t="array" ref="I78">IFERROR(INDEX('Tasas de Cambio'!$E$11:$E$15,MATCH(E78,'Tasas de Cambio'!$B$11:$B$15,0)),0)</f>
        <v>1.0</v>
      </c>
      <c r="J78" s="52">
        <f>IFERROR(H78*I78,0)</f>
        <v>5010000.0</v>
      </c>
      <c r="K78" s="53">
        <f>IFERROR(J78/'Tasas de Cambio'!$C$5,0)</f>
        <v>1670000.0</v>
      </c>
      <c r="L78" s="54" t="s">
        <v>527</v>
      </c>
      <c r="M78" s="1" t="s">
        <v>520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