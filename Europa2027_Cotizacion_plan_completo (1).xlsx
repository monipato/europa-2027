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Comparativo" sheetId="1" r:id="rId5"/>
    <sheet state="visible" name="Instrucciones" sheetId="2" r:id="rId6"/>
    <sheet state="visible" name="Tasas de Cambio" sheetId="3" r:id="rId7"/>
    <sheet state="visible" name="Cotización" sheetId="4" r:id="rId8"/>
    <sheet state="visible" name="Resumen" sheetId="5" r:id="rId9"/>
    <sheet state="visible" name="Crucero y Zurich" sheetId="6" r:id="rId10"/>
    <sheet state="visible" name="Resumen CZ" sheetId="7" r:id="rId11"/>
    <sheet state="visible" name="Opción 4 (Múnich)" sheetId="8" r:id="rId12"/>
    <sheet state="visible" name="Resumen Opción 4" sheetId="9" r:id="rId13"/>
    <sheet state="visible" name="Crucero" sheetId="10" r:id="rId14"/>
    <sheet state="visible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<sst xmlns="http://schemas.openxmlformats.org/spreadsheetml/2006/main" count="1299" uniqueCount="375">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</sst>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63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3572*$E$7</f>
        <v>3750.6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3860*$E$7</f>
        <v>4053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148.4*$E$7</f>
        <v>155.82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3065*$E$7</f>
        <v>3218.25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58</v>
      </c>
      <c r="E5" s="33" t="s">
        <v>55</v>
      </c>
      <c r="F5" s="34">
        <v>760054.0</v>
      </c>
      <c r="G5" s="33">
        <v>1.0</v>
      </c>
      <c r="H5" s="51">
        <f t="shared" ref="H5:H79" si="1">IFERROR(F5*G5,0)</f>
        <v>760054</v>
      </c>
      <c r="I5" s="51">
        <f t="array" ref="I5">IFERROR(INDEX('Tasas de Cambio'!$E$11:$E$15,MATCH(E5,'Tasas de Cambio'!$B$11:$B$15,0)),0)</f>
        <v>1</v>
      </c>
      <c r="J5" s="52">
        <f t="shared" ref="J5:J79" si="2">IFERROR(H5*I5,0)</f>
        <v>760054</v>
      </c>
      <c r="K5" s="53">
        <f>IFERROR(J5/'Tasas de Cambio'!$C$5,0)</f>
        <v>253351.3333</v>
      </c>
      <c r="L5" s="54" t="s">
        <v>105</v>
      </c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11</v>
      </c>
      <c r="B6" s="29" t="s">
        <v>106</v>
      </c>
      <c r="C6" s="30" t="s">
        <v>107</v>
      </c>
      <c r="D6" s="32" t="s">
        <v>108</v>
      </c>
      <c r="E6" s="33" t="s">
        <v>55</v>
      </c>
      <c r="F6" s="34">
        <v>1886015.0</v>
      </c>
      <c r="G6" s="33">
        <v>3.0</v>
      </c>
      <c r="H6" s="51">
        <f t="shared" si="1"/>
        <v>5658045</v>
      </c>
      <c r="I6" s="51">
        <f t="array" ref="I6">IFERROR(INDEX('Tasas de Cambio'!$E$11:$E$15,MATCH(E6,'Tasas de Cambio'!$B$11:$B$15,0)),0)</f>
        <v>1</v>
      </c>
      <c r="J6" s="52">
        <f t="shared" si="2"/>
        <v>5658045</v>
      </c>
      <c r="K6" s="53">
        <f>IFERROR(J6/'Tasas de Cambio'!$C$5,0)</f>
        <v>1886015</v>
      </c>
      <c r="L6" s="54" t="s">
        <v>109</v>
      </c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4053</v>
      </c>
      <c r="J7" s="52">
        <f t="shared" si="2"/>
        <v>182385</v>
      </c>
      <c r="K7" s="53">
        <f>IFERROR(J7/'Tasas de Cambio'!$C$5,0)</f>
        <v>60795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115</v>
      </c>
      <c r="E8" s="33" t="s">
        <v>17</v>
      </c>
      <c r="F8" s="34">
        <v>200.0</v>
      </c>
      <c r="G8" s="33">
        <v>3.0</v>
      </c>
      <c r="H8" s="51">
        <f t="shared" si="1"/>
        <v>600</v>
      </c>
      <c r="I8" s="51">
        <f t="array" ref="I8">IFERROR(INDEX('Tasas de Cambio'!$E$11:$E$15,MATCH(E8,'Tasas de Cambio'!$B$11:$B$15,0)),0)</f>
        <v>4053</v>
      </c>
      <c r="J8" s="52">
        <f t="shared" si="2"/>
        <v>2431800</v>
      </c>
      <c r="K8" s="53">
        <f>IFERROR(J8/'Tasas de Cambio'!$C$5,0)</f>
        <v>810600</v>
      </c>
      <c r="L8" s="54" t="s">
        <v>116</v>
      </c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3750.6</v>
      </c>
      <c r="J9" s="52">
        <f t="shared" si="2"/>
        <v>2250360</v>
      </c>
      <c r="K9" s="53">
        <f>IFERROR(J9/'Tasas de Cambio'!$C$5,0)</f>
        <v>750120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3218.25</v>
      </c>
      <c r="J10" s="52">
        <f t="shared" si="2"/>
        <v>173785.5</v>
      </c>
      <c r="K10" s="53">
        <f>IFERROR(J10/'Tasas de Cambio'!$C$5,0)</f>
        <v>57928.5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126</v>
      </c>
      <c r="E11" s="33" t="s">
        <v>17</v>
      </c>
      <c r="F11" s="34">
        <v>55.0</v>
      </c>
      <c r="G11" s="33">
        <v>3.0</v>
      </c>
      <c r="H11" s="51">
        <f t="shared" si="1"/>
        <v>165</v>
      </c>
      <c r="I11" s="51">
        <f t="array" ref="I11">IFERROR(INDEX('Tasas de Cambio'!$E$11:$E$15,MATCH(E11,'Tasas de Cambio'!$B$11:$B$15,0)),0)</f>
        <v>4053</v>
      </c>
      <c r="J11" s="52">
        <f t="shared" si="2"/>
        <v>668745</v>
      </c>
      <c r="K11" s="53">
        <f>IFERROR(J11/'Tasas de Cambio'!$C$5,0)</f>
        <v>222915</v>
      </c>
      <c r="L11" s="54" t="s">
        <v>127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128</v>
      </c>
      <c r="E12" s="33" t="s">
        <v>97</v>
      </c>
      <c r="F12" s="34">
        <v>90.0</v>
      </c>
      <c r="G12" s="33">
        <v>3.0</v>
      </c>
      <c r="H12" s="51">
        <f t="shared" si="1"/>
        <v>270</v>
      </c>
      <c r="I12" s="51">
        <f t="array" ref="I12">IFERROR(INDEX('Tasas de Cambio'!$E$11:$E$15,MATCH(E12,'Tasas de Cambio'!$B$11:$B$15,0)),0)</f>
        <v>3218.25</v>
      </c>
      <c r="J12" s="52">
        <f t="shared" si="2"/>
        <v>868927.5</v>
      </c>
      <c r="K12" s="53">
        <f>IFERROR(J12/'Tasas de Cambio'!$C$5,0)</f>
        <v>289642.5</v>
      </c>
      <c r="L12" s="54" t="s">
        <v>129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350.0</v>
      </c>
      <c r="G13" s="33">
        <v>3.0</v>
      </c>
      <c r="H13" s="51">
        <f t="shared" si="1"/>
        <v>1050</v>
      </c>
      <c r="I13" s="51">
        <f t="array" ref="I13">IFERROR(INDEX('Tasas de Cambio'!$E$11:$E$15,MATCH(E13,'Tasas de Cambio'!$B$11:$B$15,0)),0)</f>
        <v>3218.25</v>
      </c>
      <c r="J13" s="52">
        <f t="shared" si="2"/>
        <v>3379162.5</v>
      </c>
      <c r="K13" s="53">
        <f>IFERROR(J13/'Tasas de Cambio'!$C$5,0)</f>
        <v>1126387.5</v>
      </c>
      <c r="L13" s="54" t="s">
        <v>132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126</v>
      </c>
      <c r="E14" s="33" t="s">
        <v>17</v>
      </c>
      <c r="F14" s="34">
        <v>55.0</v>
      </c>
      <c r="G14" s="33">
        <v>3.0</v>
      </c>
      <c r="H14" s="51">
        <f t="shared" si="1"/>
        <v>165</v>
      </c>
      <c r="I14" s="51">
        <f t="array" ref="I14">IFERROR(INDEX('Tasas de Cambio'!$E$11:$E$15,MATCH(E14,'Tasas de Cambio'!$B$11:$B$15,0)),0)</f>
        <v>4053</v>
      </c>
      <c r="J14" s="52">
        <f t="shared" si="2"/>
        <v>668745</v>
      </c>
      <c r="K14" s="53">
        <f>IFERROR(J14/'Tasas de Cambio'!$C$5,0)</f>
        <v>222915</v>
      </c>
      <c r="L14" s="54" t="s">
        <v>127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3750.6</v>
      </c>
      <c r="J15" s="52">
        <f t="shared" si="2"/>
        <v>843885</v>
      </c>
      <c r="K15" s="53">
        <f>IFERROR(J15/'Tasas de Cambio'!$C$5,0)</f>
        <v>281295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4053</v>
      </c>
      <c r="J16" s="52">
        <f t="shared" si="2"/>
        <v>60795</v>
      </c>
      <c r="K16" s="53">
        <f>IFERROR(J16/'Tasas de Cambio'!$C$5,0)</f>
        <v>20265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3750.6</v>
      </c>
      <c r="J17" s="52">
        <f t="shared" si="2"/>
        <v>67510.8</v>
      </c>
      <c r="K17" s="53">
        <f>IFERROR(J17/'Tasas de Cambio'!$C$5,0)</f>
        <v>22503.6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3750.6</v>
      </c>
      <c r="J18" s="52">
        <f t="shared" si="2"/>
        <v>1687770</v>
      </c>
      <c r="K18" s="53">
        <f>IFERROR(J18/'Tasas de Cambio'!$C$5,0)</f>
        <v>562590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126</v>
      </c>
      <c r="E19" s="33" t="s">
        <v>12</v>
      </c>
      <c r="F19" s="34">
        <v>50.0</v>
      </c>
      <c r="G19" s="33">
        <v>3.0</v>
      </c>
      <c r="H19" s="51">
        <f t="shared" si="1"/>
        <v>150</v>
      </c>
      <c r="I19" s="51">
        <f t="array" ref="I19">IFERROR(INDEX('Tasas de Cambio'!$E$11:$E$15,MATCH(E19,'Tasas de Cambio'!$B$11:$B$15,0)),0)</f>
        <v>3750.6</v>
      </c>
      <c r="J19" s="52">
        <f t="shared" si="2"/>
        <v>562590</v>
      </c>
      <c r="K19" s="53">
        <f>IFERROR(J19/'Tasas de Cambio'!$C$5,0)</f>
        <v>187530</v>
      </c>
      <c r="L19" s="54" t="s">
        <v>127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3750.6</v>
      </c>
      <c r="J20" s="52">
        <f t="shared" si="2"/>
        <v>1237698</v>
      </c>
      <c r="K20" s="53">
        <f>IFERROR(J20/'Tasas de Cambio'!$C$5,0)</f>
        <v>412566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126</v>
      </c>
      <c r="E21" s="33" t="s">
        <v>12</v>
      </c>
      <c r="F21" s="34">
        <v>50.0</v>
      </c>
      <c r="G21" s="33">
        <v>3.0</v>
      </c>
      <c r="H21" s="51">
        <f t="shared" si="1"/>
        <v>150</v>
      </c>
      <c r="I21" s="51">
        <f t="array" ref="I21">IFERROR(INDEX('Tasas de Cambio'!$E$11:$E$15,MATCH(E21,'Tasas de Cambio'!$B$11:$B$15,0)),0)</f>
        <v>3750.6</v>
      </c>
      <c r="J21" s="52">
        <f t="shared" si="2"/>
        <v>562590</v>
      </c>
      <c r="K21" s="53">
        <f>IFERROR(J21/'Tasas de Cambio'!$C$5,0)</f>
        <v>187530</v>
      </c>
      <c r="L21" s="54" t="s">
        <v>127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3750.6</v>
      </c>
      <c r="J22" s="52">
        <f t="shared" si="2"/>
        <v>213784.2</v>
      </c>
      <c r="K22" s="53">
        <f>IFERROR(J22/'Tasas de Cambio'!$C$5,0)</f>
        <v>71261.4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126</v>
      </c>
      <c r="E23" s="33" t="s">
        <v>12</v>
      </c>
      <c r="F23" s="34">
        <v>50.0</v>
      </c>
      <c r="G23" s="33">
        <v>3.0</v>
      </c>
      <c r="H23" s="51">
        <f t="shared" si="1"/>
        <v>150</v>
      </c>
      <c r="I23" s="51">
        <f t="array" ref="I23">IFERROR(INDEX('Tasas de Cambio'!$E$11:$E$15,MATCH(E23,'Tasas de Cambio'!$B$11:$B$15,0)),0)</f>
        <v>3750.6</v>
      </c>
      <c r="J23" s="52">
        <f t="shared" si="2"/>
        <v>562590</v>
      </c>
      <c r="K23" s="53">
        <f>IFERROR(J23/'Tasas de Cambio'!$C$5,0)</f>
        <v>187530</v>
      </c>
      <c r="L23" s="54" t="s">
        <v>127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3750.6</v>
      </c>
      <c r="J24" s="52">
        <f t="shared" si="2"/>
        <v>1462734</v>
      </c>
      <c r="K24" s="53">
        <f>IFERROR(J24/'Tasas de Cambio'!$C$5,0)</f>
        <v>487578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3750.6</v>
      </c>
      <c r="J25" s="52">
        <f t="shared" si="2"/>
        <v>187530</v>
      </c>
      <c r="K25" s="53">
        <f>IFERROR(J25/'Tasas de Cambio'!$C$5,0)</f>
        <v>62510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3750.6</v>
      </c>
      <c r="J26" s="52">
        <f t="shared" si="2"/>
        <v>150024</v>
      </c>
      <c r="K26" s="53">
        <f>IFERROR(J26/'Tasas de Cambio'!$C$5,0)</f>
        <v>50008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166</v>
      </c>
      <c r="E27" s="33" t="s">
        <v>12</v>
      </c>
      <c r="F27" s="34">
        <v>260.0</v>
      </c>
      <c r="G27" s="33">
        <v>2.0</v>
      </c>
      <c r="H27" s="51">
        <f t="shared" si="1"/>
        <v>520</v>
      </c>
      <c r="I27" s="51">
        <f t="array" ref="I27">IFERROR(INDEX('Tasas de Cambio'!$E$11:$E$15,MATCH(E27,'Tasas de Cambio'!$B$11:$B$15,0)),0)</f>
        <v>3750.6</v>
      </c>
      <c r="J27" s="52">
        <f t="shared" si="2"/>
        <v>1950312</v>
      </c>
      <c r="K27" s="53">
        <f>IFERROR(J27/'Tasas de Cambio'!$C$5,0)</f>
        <v>650104</v>
      </c>
      <c r="L27" s="54" t="s">
        <v>170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3750.6</v>
      </c>
      <c r="J29" s="52">
        <f t="shared" si="2"/>
        <v>135021.6</v>
      </c>
      <c r="K29" s="53">
        <f>IFERROR(J29/'Tasas de Cambio'!$C$5,0)</f>
        <v>45007.2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175</v>
      </c>
      <c r="E30" s="33" t="s">
        <v>12</v>
      </c>
      <c r="F30" s="34">
        <v>20.0</v>
      </c>
      <c r="G30" s="33">
        <v>3.0</v>
      </c>
      <c r="H30" s="51">
        <f t="shared" si="1"/>
        <v>60</v>
      </c>
      <c r="I30" s="51">
        <f t="array" ref="I30">IFERROR(INDEX('Tasas de Cambio'!$E$11:$E$15,MATCH(E30,'Tasas de Cambio'!$B$11:$B$15,0)),0)</f>
        <v>3750.6</v>
      </c>
      <c r="J30" s="52">
        <f t="shared" si="2"/>
        <v>225036</v>
      </c>
      <c r="K30" s="53">
        <f>IFERROR(J30/'Tasas de Cambio'!$C$5,0)</f>
        <v>75012</v>
      </c>
      <c r="L30" s="54" t="s">
        <v>123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3750.6</v>
      </c>
      <c r="J32" s="52">
        <f t="shared" si="2"/>
        <v>112518</v>
      </c>
      <c r="K32" s="53">
        <f>IFERROR(J32/'Tasas de Cambio'!$C$5,0)</f>
        <v>37506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 t="shared" si="1"/>
        <v>2010</v>
      </c>
      <c r="I33" s="51">
        <f t="array" ref="I33">IFERROR(INDEX('Tasas de Cambio'!$E$11:$E$15,MATCH(E33,'Tasas de Cambio'!$B$11:$B$15,0)),0)</f>
        <v>3218.25</v>
      </c>
      <c r="J33" s="52">
        <f t="shared" si="2"/>
        <v>6468682.5</v>
      </c>
      <c r="K33" s="53">
        <f>IFERROR(J33/'Tasas de Cambio'!$C$5,0)</f>
        <v>2156227.5</v>
      </c>
      <c r="L33" s="54" t="s">
        <v>187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191</v>
      </c>
      <c r="C36" s="30" t="s">
        <v>192</v>
      </c>
      <c r="D36" s="32" t="s">
        <v>193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3750.6</v>
      </c>
      <c r="J36" s="52">
        <f t="shared" si="2"/>
        <v>0</v>
      </c>
      <c r="K36" s="53">
        <f>IFERROR(J36/'Tasas de Cambio'!$C$5,0)</f>
        <v>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196</v>
      </c>
      <c r="E37" s="33" t="s">
        <v>97</v>
      </c>
      <c r="F37" s="34">
        <v>70.0</v>
      </c>
      <c r="G37" s="33">
        <v>3.0</v>
      </c>
      <c r="H37" s="51">
        <f t="shared" si="1"/>
        <v>210</v>
      </c>
      <c r="I37" s="51">
        <f t="array" ref="I37">IFERROR(INDEX('Tasas de Cambio'!$E$11:$E$15,MATCH(E37,'Tasas de Cambio'!$B$11:$B$15,0)),0)</f>
        <v>3218.25</v>
      </c>
      <c r="J37" s="52">
        <f t="shared" si="2"/>
        <v>675832.5</v>
      </c>
      <c r="K37" s="53">
        <f>IFERROR(J37/'Tasas de Cambio'!$C$5,0)</f>
        <v>225277.5</v>
      </c>
      <c r="L37" s="54" t="s">
        <v>123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 t="s">
        <v>123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200</v>
      </c>
      <c r="E39" s="33" t="s">
        <v>97</v>
      </c>
      <c r="F39" s="34">
        <v>120.0</v>
      </c>
      <c r="G39" s="33">
        <v>3.0</v>
      </c>
      <c r="H39" s="51">
        <f t="shared" si="1"/>
        <v>360</v>
      </c>
      <c r="I39" s="51">
        <f t="array" ref="I39">IFERROR(INDEX('Tasas de Cambio'!$E$11:$E$15,MATCH(E39,'Tasas de Cambio'!$B$11:$B$15,0)),0)</f>
        <v>3218.25</v>
      </c>
      <c r="J39" s="52">
        <f t="shared" si="2"/>
        <v>1158570</v>
      </c>
      <c r="K39" s="53">
        <f>IFERROR(J39/'Tasas de Cambio'!$C$5,0)</f>
        <v>386190</v>
      </c>
      <c r="L39" s="54" t="s">
        <v>123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 t="s">
        <v>123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3750.6</v>
      </c>
      <c r="J41" s="52">
        <f t="shared" si="2"/>
        <v>0</v>
      </c>
      <c r="K41" s="53">
        <f>IFERROR(J41/'Tasas de Cambio'!$C$5,0)</f>
        <v>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 t="shared" si="1"/>
        <v>0</v>
      </c>
      <c r="I42" s="51">
        <f t="array" ref="I42">IFERROR(INDEX('Tasas de Cambio'!$E$11:$E$15,MATCH(E42,'Tasas de Cambio'!$B$11:$B$15,0)),0)</f>
        <v>3750.6</v>
      </c>
      <c r="J42" s="52">
        <f t="shared" si="2"/>
        <v>0</v>
      </c>
      <c r="K42" s="53">
        <f>IFERROR(J42/'Tasas de Cambio'!$C$5,0)</f>
        <v>0</v>
      </c>
      <c r="L42" s="54" t="s">
        <v>127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29" t="s">
        <v>57</v>
      </c>
      <c r="B43" s="29" t="s">
        <v>191</v>
      </c>
      <c r="C43" s="30" t="s">
        <v>205</v>
      </c>
      <c r="D43" s="32" t="s">
        <v>193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155.82</v>
      </c>
      <c r="J43" s="52">
        <f t="shared" si="2"/>
        <v>0</v>
      </c>
      <c r="K43" s="53">
        <f>IFERROR(J43/'Tasas de Cambio'!$C$5,0)</f>
        <v>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208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3750.6</v>
      </c>
      <c r="J44" s="52">
        <f t="shared" si="2"/>
        <v>112518</v>
      </c>
      <c r="K44" s="53">
        <f>IFERROR(J44/'Tasas de Cambio'!$C$5,0)</f>
        <v>37506</v>
      </c>
      <c r="L44" s="54" t="s">
        <v>123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 t="shared" si="1"/>
        <v>0</v>
      </c>
      <c r="I45" s="51">
        <f t="array" ref="I45">IFERROR(INDEX('Tasas de Cambio'!$E$11:$E$15,MATCH(E45,'Tasas de Cambio'!$B$11:$B$15,0)),0)</f>
        <v>3750.6</v>
      </c>
      <c r="J45" s="52">
        <f t="shared" si="2"/>
        <v>0</v>
      </c>
      <c r="K45" s="53">
        <f>IFERROR(J45/'Tasas de Cambio'!$C$5,0)</f>
        <v>0</v>
      </c>
      <c r="L45" s="54" t="s">
        <v>127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211</v>
      </c>
      <c r="E46" s="33" t="s">
        <v>12</v>
      </c>
      <c r="F46" s="34">
        <v>55.0</v>
      </c>
      <c r="G46" s="33">
        <v>3.0</v>
      </c>
      <c r="H46" s="51">
        <f t="shared" si="1"/>
        <v>165</v>
      </c>
      <c r="I46" s="51">
        <f t="array" ref="I46">IFERROR(INDEX('Tasas de Cambio'!$E$11:$E$15,MATCH(E46,'Tasas de Cambio'!$B$11:$B$15,0)),0)</f>
        <v>3750.6</v>
      </c>
      <c r="J46" s="52">
        <f t="shared" si="2"/>
        <v>618849</v>
      </c>
      <c r="K46" s="53">
        <f>IFERROR(J46/'Tasas de Cambio'!$C$5,0)</f>
        <v>206283</v>
      </c>
      <c r="L46" s="54" t="s">
        <v>123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214</v>
      </c>
      <c r="E47" s="33" t="s">
        <v>12</v>
      </c>
      <c r="F47" s="34">
        <v>400.0</v>
      </c>
      <c r="G47" s="33">
        <v>1.0</v>
      </c>
      <c r="H47" s="51">
        <f t="shared" si="1"/>
        <v>400</v>
      </c>
      <c r="I47" s="51">
        <f t="array" ref="I47">IFERROR(INDEX('Tasas de Cambio'!$E$11:$E$15,MATCH(E47,'Tasas de Cambio'!$B$11:$B$15,0)),0)</f>
        <v>3750.6</v>
      </c>
      <c r="J47" s="52">
        <f t="shared" si="2"/>
        <v>1500240</v>
      </c>
      <c r="K47" s="53">
        <f>IFERROR(J47/'Tasas de Cambio'!$C$5,0)</f>
        <v>500080</v>
      </c>
      <c r="L47" s="54" t="s">
        <v>123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3750.6</v>
      </c>
      <c r="J49" s="52">
        <f t="shared" si="2"/>
        <v>675108</v>
      </c>
      <c r="K49" s="53">
        <f>IFERROR(J49/'Tasas de Cambio'!$C$5,0)</f>
        <v>225036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3750.6</v>
      </c>
      <c r="J50" s="52">
        <f t="shared" si="2"/>
        <v>75012</v>
      </c>
      <c r="K50" s="53">
        <f>IFERROR(J50/'Tasas de Cambio'!$C$5,0)</f>
        <v>25004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3750.6</v>
      </c>
      <c r="J51" s="52">
        <f t="shared" si="2"/>
        <v>67510.8</v>
      </c>
      <c r="K51" s="53">
        <f>IFERROR(J51/'Tasas de Cambio'!$C$5,0)</f>
        <v>22503.6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3750.6</v>
      </c>
      <c r="J52" s="52">
        <f t="shared" si="2"/>
        <v>731367</v>
      </c>
      <c r="K52" s="53">
        <f>IFERROR(J52/'Tasas de Cambio'!$C$5,0)</f>
        <v>243789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217</v>
      </c>
      <c r="D53" s="32" t="s">
        <v>229</v>
      </c>
      <c r="E53" s="33" t="s">
        <v>12</v>
      </c>
      <c r="F53" s="34">
        <v>10.0</v>
      </c>
      <c r="G53" s="33">
        <v>3.0</v>
      </c>
      <c r="H53" s="51">
        <f t="shared" si="1"/>
        <v>30</v>
      </c>
      <c r="I53" s="51">
        <f t="array" ref="I53">IFERROR(INDEX('Tasas de Cambio'!$E$11:$E$15,MATCH(E53,'Tasas de Cambio'!$B$11:$B$15,0)),0)</f>
        <v>3750.6</v>
      </c>
      <c r="J53" s="52">
        <f t="shared" si="2"/>
        <v>112518</v>
      </c>
      <c r="K53" s="53">
        <f>IFERROR(J53/'Tasas de Cambio'!$C$5,0)</f>
        <v>37506</v>
      </c>
      <c r="L53" s="54" t="s">
        <v>123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230</v>
      </c>
      <c r="E54" s="33" t="s">
        <v>12</v>
      </c>
      <c r="F54" s="34">
        <v>25.0</v>
      </c>
      <c r="G54" s="33">
        <v>3.0</v>
      </c>
      <c r="H54" s="51">
        <f t="shared" si="1"/>
        <v>75</v>
      </c>
      <c r="I54" s="51">
        <f t="array" ref="I54">IFERROR(INDEX('Tasas de Cambio'!$E$11:$E$15,MATCH(E54,'Tasas de Cambio'!$B$11:$B$15,0)),0)</f>
        <v>3750.6</v>
      </c>
      <c r="J54" s="52">
        <f t="shared" si="2"/>
        <v>281295</v>
      </c>
      <c r="K54" s="53">
        <f>IFERROR(J54/'Tasas de Cambio'!$C$5,0)</f>
        <v>93765</v>
      </c>
      <c r="L54" s="54" t="s">
        <v>123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3750.6</v>
      </c>
      <c r="J55" s="52">
        <f t="shared" si="2"/>
        <v>675108</v>
      </c>
      <c r="K55" s="53">
        <f>IFERROR(J55/'Tasas de Cambio'!$C$5,0)</f>
        <v>225036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235</v>
      </c>
      <c r="D56" s="32" t="s">
        <v>126</v>
      </c>
      <c r="E56" s="33" t="s">
        <v>12</v>
      </c>
      <c r="F56" s="34">
        <v>45.0</v>
      </c>
      <c r="G56" s="33">
        <v>6.0</v>
      </c>
      <c r="H56" s="51">
        <f t="shared" si="1"/>
        <v>270</v>
      </c>
      <c r="I56" s="51">
        <f t="array" ref="I56">IFERROR(INDEX('Tasas de Cambio'!$E$11:$E$15,MATCH(E56,'Tasas de Cambio'!$B$11:$B$15,0)),0)</f>
        <v>3750.6</v>
      </c>
      <c r="J56" s="52">
        <f t="shared" si="2"/>
        <v>1012662</v>
      </c>
      <c r="K56" s="53">
        <f>IFERROR(J56/'Tasas de Cambio'!$C$5,0)</f>
        <v>337554</v>
      </c>
      <c r="L56" s="54" t="s">
        <v>127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3750.6</v>
      </c>
      <c r="J57" s="52">
        <f t="shared" si="2"/>
        <v>731367</v>
      </c>
      <c r="K57" s="53">
        <f>IFERROR(J57/'Tasas de Cambio'!$C$5,0)</f>
        <v>243789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3750.6</v>
      </c>
      <c r="J58" s="52">
        <f t="shared" si="2"/>
        <v>900144</v>
      </c>
      <c r="K58" s="53">
        <f>IFERROR(J58/'Tasas de Cambio'!$C$5,0)</f>
        <v>300048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3750.6</v>
      </c>
      <c r="J59" s="52">
        <f t="shared" si="2"/>
        <v>206283</v>
      </c>
      <c r="K59" s="53">
        <f>IFERROR(J59/'Tasas de Cambio'!$C$5,0)</f>
        <v>68761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3750.6</v>
      </c>
      <c r="J60" s="52">
        <f t="shared" si="2"/>
        <v>105016.8</v>
      </c>
      <c r="K60" s="53">
        <f>IFERROR(J60/'Tasas de Cambio'!$C$5,0)</f>
        <v>35005.6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155.82</v>
      </c>
      <c r="J61" s="52">
        <f t="shared" si="2"/>
        <v>934920</v>
      </c>
      <c r="K61" s="53">
        <f>IFERROR(J61/'Tasas de Cambio'!$C$5,0)</f>
        <v>311640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155.82</v>
      </c>
      <c r="J62" s="52">
        <f t="shared" si="2"/>
        <v>537579</v>
      </c>
      <c r="K62" s="53">
        <f>IFERROR(J62/'Tasas de Cambio'!$C$5,0)</f>
        <v>179193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256</v>
      </c>
      <c r="D63" s="32" t="s">
        <v>126</v>
      </c>
      <c r="E63" s="33" t="s">
        <v>37</v>
      </c>
      <c r="F63" s="34">
        <v>550.0</v>
      </c>
      <c r="G63" s="33">
        <v>6.0</v>
      </c>
      <c r="H63" s="51">
        <f t="shared" si="1"/>
        <v>3300</v>
      </c>
      <c r="I63" s="51">
        <f t="array" ref="I63">IFERROR(INDEX('Tasas de Cambio'!$E$11:$E$15,MATCH(E63,'Tasas de Cambio'!$B$11:$B$15,0)),0)</f>
        <v>155.82</v>
      </c>
      <c r="J63" s="52">
        <f t="shared" si="2"/>
        <v>514206</v>
      </c>
      <c r="K63" s="53">
        <f>IFERROR(J63/'Tasas de Cambio'!$C$5,0)</f>
        <v>171402</v>
      </c>
      <c r="L63" s="54" t="s">
        <v>127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155.82</v>
      </c>
      <c r="J64" s="52">
        <f t="shared" si="2"/>
        <v>233730</v>
      </c>
      <c r="K64" s="53">
        <f>IFERROR(J64/'Tasas de Cambio'!$C$5,0)</f>
        <v>77910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3750.6</v>
      </c>
      <c r="J65" s="52">
        <f t="shared" si="2"/>
        <v>450072</v>
      </c>
      <c r="K65" s="53">
        <f>IFERROR(J65/'Tasas de Cambio'!$C$5,0)</f>
        <v>150024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3750.6</v>
      </c>
      <c r="J66" s="52">
        <f t="shared" si="2"/>
        <v>67510.8</v>
      </c>
      <c r="K66" s="53">
        <f>IFERROR(J66/'Tasas de Cambio'!$C$5,0)</f>
        <v>22503.6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3750.6</v>
      </c>
      <c r="J67" s="52">
        <f t="shared" si="2"/>
        <v>1068921</v>
      </c>
      <c r="K67" s="53">
        <f>IFERROR(J67/'Tasas de Cambio'!$C$5,0)</f>
        <v>356307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3218.25</v>
      </c>
      <c r="J68" s="52">
        <f t="shared" si="2"/>
        <v>289642.5</v>
      </c>
      <c r="K68" s="53">
        <f>IFERROR(J68/'Tasas de Cambio'!$C$5,0)</f>
        <v>96547.5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275</v>
      </c>
      <c r="D69" s="32" t="s">
        <v>126</v>
      </c>
      <c r="E69" s="33" t="s">
        <v>12</v>
      </c>
      <c r="F69" s="34">
        <v>30.0</v>
      </c>
      <c r="G69" s="33">
        <v>6.0</v>
      </c>
      <c r="H69" s="51">
        <f t="shared" si="1"/>
        <v>180</v>
      </c>
      <c r="I69" s="51">
        <f t="array" ref="I69">IFERROR(INDEX('Tasas de Cambio'!$E$11:$E$15,MATCH(E69,'Tasas de Cambio'!$B$11:$B$15,0)),0)</f>
        <v>3750.6</v>
      </c>
      <c r="J69" s="52">
        <f t="shared" si="2"/>
        <v>675108</v>
      </c>
      <c r="K69" s="53">
        <f>IFERROR(J69/'Tasas de Cambio'!$C$5,0)</f>
        <v>225036</v>
      </c>
      <c r="L69" s="54" t="s">
        <v>127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3750.6</v>
      </c>
      <c r="J70" s="52">
        <f t="shared" si="2"/>
        <v>337554</v>
      </c>
      <c r="K70" s="53">
        <f>IFERROR(J70/'Tasas de Cambio'!$C$5,0)</f>
        <v>112518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3750.6</v>
      </c>
      <c r="J71" s="52">
        <f t="shared" si="2"/>
        <v>618849</v>
      </c>
      <c r="K71" s="53">
        <f>IFERROR(J71/'Tasas de Cambio'!$C$5,0)</f>
        <v>206283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3750.6</v>
      </c>
      <c r="J72" s="52">
        <f t="shared" si="2"/>
        <v>37506</v>
      </c>
      <c r="K72" s="53">
        <f>IFERROR(J72/'Tasas de Cambio'!$C$5,0)</f>
        <v>12502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286</v>
      </c>
      <c r="D73" s="32" t="s">
        <v>287</v>
      </c>
      <c r="E73" s="33" t="s">
        <v>12</v>
      </c>
      <c r="F73" s="34">
        <v>130.0</v>
      </c>
      <c r="G73" s="33">
        <v>5.0</v>
      </c>
      <c r="H73" s="51">
        <f t="shared" si="1"/>
        <v>650</v>
      </c>
      <c r="I73" s="51">
        <f t="array" ref="I73">IFERROR(INDEX('Tasas de Cambio'!$E$11:$E$15,MATCH(E73,'Tasas de Cambio'!$B$11:$B$15,0)),0)</f>
        <v>3750.6</v>
      </c>
      <c r="J73" s="52">
        <f t="shared" si="2"/>
        <v>2437890</v>
      </c>
      <c r="K73" s="53">
        <f>IFERROR(J73/'Tasas de Cambio'!$C$5,0)</f>
        <v>812630</v>
      </c>
      <c r="L73" s="54" t="s">
        <v>288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4.0" customHeight="1">
      <c r="A74" s="29" t="s">
        <v>57</v>
      </c>
      <c r="B74" s="29" t="s">
        <v>270</v>
      </c>
      <c r="C74" s="30" t="s">
        <v>289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 t="shared" si="1"/>
        <v>69</v>
      </c>
      <c r="I74" s="51">
        <f t="array" ref="I74">IFERROR(INDEX('Tasas de Cambio'!$E$11:$E$15,MATCH(E74,'Tasas de Cambio'!$B$11:$B$15,0)),0)</f>
        <v>3218.25</v>
      </c>
      <c r="J74" s="52">
        <f t="shared" si="2"/>
        <v>222059.25</v>
      </c>
      <c r="K74" s="53">
        <f>IFERROR(J74/'Tasas de Cambio'!$C$5,0)</f>
        <v>74019.75</v>
      </c>
      <c r="L74" s="54" t="s">
        <v>291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9" t="s">
        <v>59</v>
      </c>
      <c r="B75" s="29" t="s">
        <v>292</v>
      </c>
      <c r="C75" s="30" t="s">
        <v>293</v>
      </c>
      <c r="D75" s="32" t="s">
        <v>126</v>
      </c>
      <c r="E75" s="33" t="s">
        <v>12</v>
      </c>
      <c r="F75" s="34">
        <v>40.0</v>
      </c>
      <c r="G75" s="33">
        <v>9.0</v>
      </c>
      <c r="H75" s="51">
        <f t="shared" si="1"/>
        <v>360</v>
      </c>
      <c r="I75" s="51">
        <f t="array" ref="I75">IFERROR(INDEX('Tasas de Cambio'!$E$11:$E$15,MATCH(E75,'Tasas de Cambio'!$B$11:$B$15,0)),0)</f>
        <v>3750.6</v>
      </c>
      <c r="J75" s="52">
        <f t="shared" si="2"/>
        <v>1350216</v>
      </c>
      <c r="K75" s="53">
        <f>IFERROR(J75/'Tasas de Cambio'!$C$5,0)</f>
        <v>450072</v>
      </c>
      <c r="L75" s="54" t="s">
        <v>127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9" t="s">
        <v>57</v>
      </c>
      <c r="B76" s="29" t="s">
        <v>270</v>
      </c>
      <c r="C76" s="30" t="s">
        <v>295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 t="shared" si="1"/>
        <v>240</v>
      </c>
      <c r="I76" s="51">
        <f t="array" ref="I76">IFERROR(INDEX('Tasas de Cambio'!$E$11:$E$15,MATCH(E76,'Tasas de Cambio'!$B$11:$B$15,0)),0)</f>
        <v>3750.6</v>
      </c>
      <c r="J76" s="52">
        <f t="shared" si="2"/>
        <v>900144</v>
      </c>
      <c r="K76" s="53">
        <f>IFERROR(J76/'Tasas de Cambio'!$C$5,0)</f>
        <v>300048</v>
      </c>
      <c r="L76" s="54" t="s">
        <v>301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9" t="s">
        <v>57</v>
      </c>
      <c r="B77" s="29" t="s">
        <v>270</v>
      </c>
      <c r="C77" s="30" t="s">
        <v>302</v>
      </c>
      <c r="D77" s="32" t="s">
        <v>303</v>
      </c>
      <c r="E77" s="33" t="s">
        <v>12</v>
      </c>
      <c r="F77" s="34">
        <v>25.0</v>
      </c>
      <c r="G77" s="33">
        <v>3.0</v>
      </c>
      <c r="H77" s="51">
        <f t="shared" si="1"/>
        <v>75</v>
      </c>
      <c r="I77" s="51">
        <f t="array" ref="I77">IFERROR(INDEX('Tasas de Cambio'!$E$11:$E$15,MATCH(E77,'Tasas de Cambio'!$B$11:$B$15,0)),0)</f>
        <v>3750.6</v>
      </c>
      <c r="J77" s="52">
        <f t="shared" si="2"/>
        <v>281295</v>
      </c>
      <c r="K77" s="53">
        <f>IFERROR(J77/'Tasas de Cambio'!$C$5,0)</f>
        <v>93765</v>
      </c>
      <c r="L77" s="54" t="s">
        <v>304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9" t="s">
        <v>11</v>
      </c>
      <c r="B78" s="29" t="s">
        <v>305</v>
      </c>
      <c r="C78" s="30" t="s">
        <v>369</v>
      </c>
      <c r="D78" s="32" t="s">
        <v>307</v>
      </c>
      <c r="E78" s="33" t="s">
        <v>55</v>
      </c>
      <c r="F78" s="34">
        <v>1886015.0</v>
      </c>
      <c r="G78" s="33">
        <v>3.0</v>
      </c>
      <c r="H78" s="51">
        <f t="shared" si="1"/>
        <v>5658045</v>
      </c>
      <c r="I78" s="51">
        <f t="array" ref="I78">IFERROR(INDEX('Tasas de Cambio'!$E$11:$E$15,MATCH(E78,'Tasas de Cambio'!$B$11:$B$15,0)),0)</f>
        <v>1</v>
      </c>
      <c r="J78" s="52">
        <f t="shared" si="2"/>
        <v>5658045</v>
      </c>
      <c r="K78" s="53">
        <f>IFERROR(J78/'Tasas de Cambio'!$C$5,0)</f>
        <v>1886015</v>
      </c>
      <c r="L78" s="54" t="s">
        <v>308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9" t="s">
        <v>14</v>
      </c>
      <c r="B79" s="29" t="s">
        <v>270</v>
      </c>
      <c r="C79" s="30" t="s">
        <v>369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 t="shared" si="1"/>
        <v>75</v>
      </c>
      <c r="I79" s="51">
        <f t="array" ref="I79">IFERROR(INDEX('Tasas de Cambio'!$E$11:$E$15,MATCH(E79,'Tasas de Cambio'!$B$11:$B$15,0)),0)</f>
        <v>3750.6</v>
      </c>
      <c r="J79" s="52">
        <f t="shared" si="2"/>
        <v>281295</v>
      </c>
      <c r="K79" s="53">
        <f>IFERROR(J79/'Tasas de Cambio'!$C$5,0)</f>
        <v>93765</v>
      </c>
      <c r="L79" s="54" t="s">
        <v>310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9"/>
      <c r="B80" s="29"/>
      <c r="C80" s="30"/>
      <c r="D80" s="32"/>
      <c r="E80" s="33"/>
      <c r="F80" s="34"/>
      <c r="G80" s="33"/>
      <c r="H80" s="51"/>
      <c r="I80" s="51"/>
      <c r="J80" s="52"/>
      <c r="K80" s="53"/>
      <c r="L80" s="5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11</v>
      </c>
      <c r="B5" s="29"/>
      <c r="C5" s="30"/>
      <c r="D5" s="32"/>
      <c r="E5" s="33" t="s">
        <v>97</v>
      </c>
      <c r="F5" s="34"/>
      <c r="G5" s="33">
        <v>3.0</v>
      </c>
      <c r="H5" s="51">
        <f t="shared" ref="H5:H53" si="1">IFERROR(F5*G5,0)</f>
        <v>0</v>
      </c>
      <c r="I5" s="51">
        <f t="array" ref="I5">IFERROR(INDEX('Tasas de Cambio'!$E$11:$E$15,MATCH(E5,'Tasas de Cambio'!$B$11:$B$15,0)),0)</f>
        <v>3218.25</v>
      </c>
      <c r="J5" s="52">
        <f t="shared" ref="J5:J53" si="2">IFERROR(H5*I5,0)</f>
        <v>0</v>
      </c>
      <c r="K5" s="53">
        <f>IFERROR(J5/'Tasas de Cambio'!$C$5,0)</f>
        <v>0</v>
      </c>
      <c r="L5" s="54"/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11</v>
      </c>
      <c r="B6" s="29"/>
      <c r="C6" s="30"/>
      <c r="D6" s="32"/>
      <c r="E6" s="33" t="s">
        <v>12</v>
      </c>
      <c r="F6" s="34"/>
      <c r="G6" s="33">
        <v>3.0</v>
      </c>
      <c r="H6" s="51">
        <f t="shared" si="1"/>
        <v>0</v>
      </c>
      <c r="I6" s="51">
        <f t="array" ref="I6">IFERROR(INDEX('Tasas de Cambio'!$E$11:$E$15,MATCH(E6,'Tasas de Cambio'!$B$11:$B$15,0)),0)</f>
        <v>3750.6</v>
      </c>
      <c r="J6" s="52">
        <f t="shared" si="2"/>
        <v>0</v>
      </c>
      <c r="K6" s="53">
        <f>IFERROR(J6/'Tasas de Cambio'!$C$5,0)</f>
        <v>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11</v>
      </c>
      <c r="B7" s="29"/>
      <c r="C7" s="30"/>
      <c r="D7" s="32"/>
      <c r="E7" s="33" t="s">
        <v>12</v>
      </c>
      <c r="F7" s="34"/>
      <c r="G7" s="33">
        <v>3.0</v>
      </c>
      <c r="H7" s="51">
        <f t="shared" si="1"/>
        <v>0</v>
      </c>
      <c r="I7" s="51">
        <f t="array" ref="I7">IFERROR(INDEX('Tasas de Cambio'!$E$11:$E$15,MATCH(E7,'Tasas de Cambio'!$B$11:$B$15,0)),0)</f>
        <v>3750.6</v>
      </c>
      <c r="J7" s="52">
        <f t="shared" si="2"/>
        <v>0</v>
      </c>
      <c r="K7" s="53">
        <f>IFERROR(J7/'Tasas de Cambio'!$C$5,0)</f>
        <v>0</v>
      </c>
      <c r="L7" s="54"/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11</v>
      </c>
      <c r="B8" s="29"/>
      <c r="C8" s="30"/>
      <c r="D8" s="32"/>
      <c r="E8" s="33" t="s">
        <v>12</v>
      </c>
      <c r="F8" s="34"/>
      <c r="G8" s="33">
        <v>3.0</v>
      </c>
      <c r="H8" s="51">
        <f t="shared" si="1"/>
        <v>0</v>
      </c>
      <c r="I8" s="51">
        <f t="array" ref="I8">IFERROR(INDEX('Tasas de Cambio'!$E$11:$E$15,MATCH(E8,'Tasas de Cambio'!$B$11:$B$15,0)),0)</f>
        <v>3750.6</v>
      </c>
      <c r="J8" s="52">
        <f t="shared" si="2"/>
        <v>0</v>
      </c>
      <c r="K8" s="53">
        <f>IFERROR(J8/'Tasas de Cambio'!$C$5,0)</f>
        <v>0</v>
      </c>
      <c r="L8" s="54"/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/>
      <c r="C9" s="30"/>
      <c r="D9" s="32"/>
      <c r="E9" s="33" t="s">
        <v>97</v>
      </c>
      <c r="F9" s="34"/>
      <c r="G9" s="33">
        <v>1.0</v>
      </c>
      <c r="H9" s="51">
        <f t="shared" si="1"/>
        <v>0</v>
      </c>
      <c r="I9" s="51">
        <f t="array" ref="I9">IFERROR(INDEX('Tasas de Cambio'!$E$11:$E$15,MATCH(E9,'Tasas de Cambio'!$B$11:$B$15,0)),0)</f>
        <v>3218.25</v>
      </c>
      <c r="J9" s="52">
        <f t="shared" si="2"/>
        <v>0</v>
      </c>
      <c r="K9" s="53">
        <f>IFERROR(J9/'Tasas de Cambio'!$C$5,0)</f>
        <v>0</v>
      </c>
      <c r="L9" s="54"/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3218.25</v>
      </c>
      <c r="J10" s="52">
        <f t="shared" si="2"/>
        <v>167349</v>
      </c>
      <c r="K10" s="53">
        <f>IFERROR(J10/'Tasas de Cambio'!$C$5,0)</f>
        <v>55783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4053</v>
      </c>
      <c r="J13" s="52">
        <f t="shared" si="2"/>
        <v>182385</v>
      </c>
      <c r="K13" s="53">
        <f>IFERROR(J13/'Tasas de Cambio'!$C$5,0)</f>
        <v>60795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299</v>
      </c>
      <c r="E14" s="33" t="s">
        <v>17</v>
      </c>
      <c r="F14" s="34">
        <v>900.0</v>
      </c>
      <c r="G14" s="33">
        <v>1.0</v>
      </c>
      <c r="H14" s="51">
        <f t="shared" si="1"/>
        <v>900</v>
      </c>
      <c r="I14" s="51">
        <f t="array" ref="I14">IFERROR(INDEX('Tasas de Cambio'!$E$11:$E$15,MATCH(E14,'Tasas de Cambio'!$B$11:$B$15,0)),0)</f>
        <v>4053</v>
      </c>
      <c r="J14" s="52">
        <f t="shared" si="2"/>
        <v>3647700</v>
      </c>
      <c r="K14" s="53">
        <f>IFERROR(J14/'Tasas de Cambio'!$C$5,0)</f>
        <v>1215900</v>
      </c>
      <c r="L14" s="5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58</v>
      </c>
      <c r="E15" s="33" t="s">
        <v>55</v>
      </c>
      <c r="F15" s="34">
        <v>150000.0</v>
      </c>
      <c r="G15" s="33">
        <v>3.0</v>
      </c>
      <c r="H15" s="51">
        <f t="shared" si="1"/>
        <v>450000</v>
      </c>
      <c r="I15" s="51">
        <f t="array" ref="I15">IFERROR(INDEX('Tasas de Cambio'!$E$11:$E$15,MATCH(E15,'Tasas de Cambio'!$B$11:$B$15,0)),0)</f>
        <v>1</v>
      </c>
      <c r="J15" s="52">
        <f t="shared" si="2"/>
        <v>450000</v>
      </c>
      <c r="K15" s="53">
        <f>IFERROR(J15/'Tasas de Cambio'!$C$5,0)</f>
        <v>150000</v>
      </c>
      <c r="L15" s="5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3218.25</v>
      </c>
      <c r="J16" s="52">
        <f t="shared" si="2"/>
        <v>868927.5</v>
      </c>
      <c r="K16" s="53">
        <f>IFERROR(J16/'Tasas de Cambio'!$C$5,0)</f>
        <v>289642.5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>
        <v>46509.0</v>
      </c>
      <c r="D17" s="32" t="s">
        <v>131</v>
      </c>
      <c r="E17" s="33" t="s">
        <v>97</v>
      </c>
      <c r="F17" s="34">
        <v>350.0</v>
      </c>
      <c r="G17" s="33">
        <v>3.0</v>
      </c>
      <c r="H17" s="51">
        <f t="shared" si="1"/>
        <v>1050</v>
      </c>
      <c r="I17" s="51">
        <f t="array" ref="I17">IFERROR(INDEX('Tasas de Cambio'!$E$11:$E$15,MATCH(E17,'Tasas de Cambio'!$B$11:$B$15,0)),0)</f>
        <v>3218.25</v>
      </c>
      <c r="J17" s="52">
        <f t="shared" si="2"/>
        <v>3379162.5</v>
      </c>
      <c r="K17" s="53">
        <f>IFERROR(J17/'Tasas de Cambio'!$C$5,0)</f>
        <v>1126387.5</v>
      </c>
      <c r="L17" s="54" t="s">
        <v>132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124</v>
      </c>
      <c r="C18" s="30">
        <v>46509.0</v>
      </c>
      <c r="D18" s="32" t="s">
        <v>126</v>
      </c>
      <c r="E18" s="33" t="s">
        <v>17</v>
      </c>
      <c r="F18" s="34">
        <v>55.0</v>
      </c>
      <c r="G18" s="33">
        <v>3.0</v>
      </c>
      <c r="H18" s="51">
        <f t="shared" si="1"/>
        <v>165</v>
      </c>
      <c r="I18" s="51">
        <f t="array" ref="I18">IFERROR(INDEX('Tasas de Cambio'!$E$11:$E$15,MATCH(E18,'Tasas de Cambio'!$B$11:$B$15,0)),0)</f>
        <v>4053</v>
      </c>
      <c r="J18" s="52">
        <f t="shared" si="2"/>
        <v>668745</v>
      </c>
      <c r="K18" s="53">
        <f>IFERROR(J18/'Tasas de Cambio'!$C$5,0)</f>
        <v>222915</v>
      </c>
      <c r="L18" s="54" t="s">
        <v>311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3218.25</v>
      </c>
      <c r="J19" s="52">
        <f t="shared" si="2"/>
        <v>1448212.5</v>
      </c>
      <c r="K19" s="53">
        <f>IFERROR(J19/'Tasas de Cambio'!$C$5,0)</f>
        <v>482737.5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>
        <v>46510.0</v>
      </c>
      <c r="D20" s="32" t="s">
        <v>126</v>
      </c>
      <c r="E20" s="33" t="s">
        <v>17</v>
      </c>
      <c r="F20" s="34">
        <v>55.0</v>
      </c>
      <c r="G20" s="33">
        <v>3.0</v>
      </c>
      <c r="H20" s="51">
        <f t="shared" si="1"/>
        <v>165</v>
      </c>
      <c r="I20" s="51">
        <f t="array" ref="I20">IFERROR(INDEX('Tasas de Cambio'!$E$11:$E$15,MATCH(E20,'Tasas de Cambio'!$B$11:$B$15,0)),0)</f>
        <v>4053</v>
      </c>
      <c r="J20" s="52">
        <f t="shared" si="2"/>
        <v>668745</v>
      </c>
      <c r="K20" s="53">
        <f>IFERROR(J20/'Tasas de Cambio'!$C$5,0)</f>
        <v>222915</v>
      </c>
      <c r="L20" s="54" t="s">
        <v>311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3218.25</v>
      </c>
      <c r="J21" s="52">
        <f t="shared" si="2"/>
        <v>1332355.5</v>
      </c>
      <c r="K21" s="53">
        <f>IFERROR(J21/'Tasas de Cambio'!$C$5,0)</f>
        <v>444118.5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>
        <v>46511.0</v>
      </c>
      <c r="D22" s="32" t="s">
        <v>126</v>
      </c>
      <c r="E22" s="33" t="s">
        <v>17</v>
      </c>
      <c r="F22" s="34">
        <v>55.0</v>
      </c>
      <c r="G22" s="33">
        <v>3.0</v>
      </c>
      <c r="H22" s="51">
        <f t="shared" si="1"/>
        <v>165</v>
      </c>
      <c r="I22" s="51">
        <f t="array" ref="I22">IFERROR(INDEX('Tasas de Cambio'!$E$11:$E$15,MATCH(E22,'Tasas de Cambio'!$B$11:$B$15,0)),0)</f>
        <v>4053</v>
      </c>
      <c r="J22" s="52">
        <f t="shared" si="2"/>
        <v>668745</v>
      </c>
      <c r="K22" s="53">
        <f>IFERROR(J22/'Tasas de Cambio'!$C$5,0)</f>
        <v>222915</v>
      </c>
      <c r="L22" s="54" t="s">
        <v>311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3218.25</v>
      </c>
      <c r="J23" s="52">
        <f t="shared" si="2"/>
        <v>675832.5</v>
      </c>
      <c r="K23" s="53">
        <f>IFERROR(J23/'Tasas de Cambio'!$C$5,0)</f>
        <v>225277.5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>
        <v>46512.0</v>
      </c>
      <c r="D24" s="32" t="s">
        <v>126</v>
      </c>
      <c r="E24" s="33" t="s">
        <v>17</v>
      </c>
      <c r="F24" s="34">
        <v>55.0</v>
      </c>
      <c r="G24" s="33">
        <v>3.0</v>
      </c>
      <c r="H24" s="51">
        <f t="shared" si="1"/>
        <v>165</v>
      </c>
      <c r="I24" s="51">
        <f t="array" ref="I24">IFERROR(INDEX('Tasas de Cambio'!$E$11:$E$15,MATCH(E24,'Tasas de Cambio'!$B$11:$B$15,0)),0)</f>
        <v>4053</v>
      </c>
      <c r="J24" s="52">
        <f t="shared" si="2"/>
        <v>668745</v>
      </c>
      <c r="K24" s="53">
        <f>IFERROR(J24/'Tasas de Cambio'!$C$5,0)</f>
        <v>222915</v>
      </c>
      <c r="L24" s="54" t="s">
        <v>311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318</v>
      </c>
      <c r="E25" s="33" t="s">
        <v>12</v>
      </c>
      <c r="F25" s="34">
        <v>520.0</v>
      </c>
      <c r="G25" s="33">
        <v>1.0</v>
      </c>
      <c r="H25" s="51">
        <f t="shared" si="1"/>
        <v>520</v>
      </c>
      <c r="I25" s="51">
        <f t="array" ref="I25">IFERROR(INDEX('Tasas de Cambio'!$E$11:$E$15,MATCH(E25,'Tasas de Cambio'!$B$11:$B$15,0)),0)</f>
        <v>3750.6</v>
      </c>
      <c r="J25" s="52">
        <f t="shared" si="2"/>
        <v>1950312</v>
      </c>
      <c r="K25" s="53">
        <f>IFERROR(J25/'Tasas de Cambio'!$C$5,0)</f>
        <v>650104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4053</v>
      </c>
      <c r="J26" s="52">
        <f t="shared" si="2"/>
        <v>3295089</v>
      </c>
      <c r="K26" s="53">
        <f>IFERROR(J26/'Tasas de Cambio'!$C$5,0)</f>
        <v>1098363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4053</v>
      </c>
      <c r="J27" s="52">
        <f t="shared" si="2"/>
        <v>182385</v>
      </c>
      <c r="K27" s="53">
        <f>IFERROR(J27/'Tasas de Cambio'!$C$5,0)</f>
        <v>60795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>
        <v>46513.0</v>
      </c>
      <c r="D28" s="32" t="s">
        <v>323</v>
      </c>
      <c r="E28" s="33" t="s">
        <v>12</v>
      </c>
      <c r="F28" s="34">
        <v>40.0</v>
      </c>
      <c r="G28" s="33">
        <v>1.0</v>
      </c>
      <c r="H28" s="51">
        <f t="shared" si="1"/>
        <v>40</v>
      </c>
      <c r="I28" s="51">
        <f t="array" ref="I28">IFERROR(INDEX('Tasas de Cambio'!$E$11:$E$15,MATCH(E28,'Tasas de Cambio'!$B$11:$B$15,0)),0)</f>
        <v>3750.6</v>
      </c>
      <c r="J28" s="52">
        <f t="shared" si="2"/>
        <v>150024</v>
      </c>
      <c r="K28" s="53">
        <f>IFERROR(J28/'Tasas de Cambio'!$C$5,0)</f>
        <v>50008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3750.6</v>
      </c>
      <c r="J29" s="52">
        <f t="shared" si="2"/>
        <v>168777</v>
      </c>
      <c r="K29" s="53">
        <f>IFERROR(J29/'Tasas de Cambio'!$C$5,0)</f>
        <v>56259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57</v>
      </c>
      <c r="B30" s="29" t="s">
        <v>171</v>
      </c>
      <c r="C30" s="30">
        <v>46514.0</v>
      </c>
      <c r="D30" s="32" t="s">
        <v>324</v>
      </c>
      <c r="E30" s="33" t="s">
        <v>12</v>
      </c>
      <c r="F30" s="34">
        <v>20.0</v>
      </c>
      <c r="G30" s="33">
        <v>3.0</v>
      </c>
      <c r="H30" s="51">
        <f t="shared" si="1"/>
        <v>60</v>
      </c>
      <c r="I30" s="51">
        <f t="array" ref="I30">IFERROR(INDEX('Tasas de Cambio'!$E$11:$E$15,MATCH(E30,'Tasas de Cambio'!$B$11:$B$15,0)),0)</f>
        <v>3750.6</v>
      </c>
      <c r="J30" s="52">
        <f t="shared" si="2"/>
        <v>225036</v>
      </c>
      <c r="K30" s="53">
        <f>IFERROR(J30/'Tasas de Cambio'!$C$5,0)</f>
        <v>75012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>
        <v>46514.0</v>
      </c>
      <c r="D32" s="32" t="s">
        <v>325</v>
      </c>
      <c r="E32" s="33" t="s">
        <v>12</v>
      </c>
      <c r="F32" s="34">
        <v>12.0</v>
      </c>
      <c r="G32" s="33">
        <v>3.0</v>
      </c>
      <c r="H32" s="51">
        <f t="shared" si="1"/>
        <v>36</v>
      </c>
      <c r="I32" s="51">
        <f t="array" ref="I32">IFERROR(INDEX('Tasas de Cambio'!$E$11:$E$15,MATCH(E32,'Tasas de Cambio'!$B$11:$B$15,0)),0)</f>
        <v>3750.6</v>
      </c>
      <c r="J32" s="52">
        <f t="shared" si="2"/>
        <v>135021.6</v>
      </c>
      <c r="K32" s="53">
        <f>IFERROR(J32/'Tasas de Cambio'!$C$5,0)</f>
        <v>45007.2</v>
      </c>
      <c r="L32" s="5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 t="shared" si="1"/>
        <v>2010</v>
      </c>
      <c r="I33" s="51">
        <f t="array" ref="I33">IFERROR(INDEX('Tasas de Cambio'!$E$11:$E$15,MATCH(E33,'Tasas de Cambio'!$B$11:$B$15,0)),0)</f>
        <v>3218.25</v>
      </c>
      <c r="J33" s="52">
        <f t="shared" si="2"/>
        <v>6468682.5</v>
      </c>
      <c r="K33" s="53">
        <f>IFERROR(J33/'Tasas de Cambio'!$C$5,0)</f>
        <v>2156227.5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3750.6</v>
      </c>
      <c r="J34" s="52">
        <f t="shared" si="2"/>
        <v>112518</v>
      </c>
      <c r="K34" s="53">
        <f>IFERROR(J34/'Tasas de Cambio'!$C$5,0)</f>
        <v>37506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3750.6</v>
      </c>
      <c r="J35" s="52">
        <f t="shared" si="2"/>
        <v>0</v>
      </c>
      <c r="K35" s="53">
        <f>IFERROR(J35/'Tasas de Cambio'!$C$5,0)</f>
        <v>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3750.6</v>
      </c>
      <c r="J36" s="52">
        <f t="shared" si="2"/>
        <v>112518</v>
      </c>
      <c r="K36" s="53">
        <f>IFERROR(J36/'Tasas de Cambio'!$C$5,0)</f>
        <v>37506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3750.6</v>
      </c>
      <c r="J37" s="52">
        <f t="shared" si="2"/>
        <v>0</v>
      </c>
      <c r="K37" s="53">
        <f>IFERROR(J37/'Tasas de Cambio'!$C$5,0)</f>
        <v>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>
        <v>46517.0</v>
      </c>
      <c r="D38" s="32" t="s">
        <v>328</v>
      </c>
      <c r="E38" s="33" t="s">
        <v>97</v>
      </c>
      <c r="F38" s="34">
        <v>70.0</v>
      </c>
      <c r="G38" s="33">
        <v>3.0</v>
      </c>
      <c r="H38" s="51">
        <f t="shared" si="1"/>
        <v>210</v>
      </c>
      <c r="I38" s="51">
        <f t="array" ref="I38">IFERROR(INDEX('Tasas de Cambio'!$E$11:$E$15,MATCH(E38,'Tasas de Cambio'!$B$11:$B$15,0)),0)</f>
        <v>3218.25</v>
      </c>
      <c r="J38" s="52">
        <f t="shared" si="2"/>
        <v>675832.5</v>
      </c>
      <c r="K38" s="53">
        <f>IFERROR(J38/'Tasas de Cambio'!$C$5,0)</f>
        <v>225277.5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59</v>
      </c>
      <c r="B39" s="29" t="s">
        <v>194</v>
      </c>
      <c r="C39" s="30">
        <v>46517.0</v>
      </c>
      <c r="D39" s="32" t="s">
        <v>197</v>
      </c>
      <c r="E39" s="33" t="s">
        <v>12</v>
      </c>
      <c r="F39" s="34">
        <v>25.0</v>
      </c>
      <c r="G39" s="33">
        <v>3.0</v>
      </c>
      <c r="H39" s="51">
        <f t="shared" si="1"/>
        <v>75</v>
      </c>
      <c r="I39" s="51">
        <f t="array" ref="I39">IFERROR(INDEX('Tasas de Cambio'!$E$11:$E$15,MATCH(E39,'Tasas de Cambio'!$B$11:$B$15,0)),0)</f>
        <v>3750.6</v>
      </c>
      <c r="J39" s="52">
        <f t="shared" si="2"/>
        <v>281295</v>
      </c>
      <c r="K39" s="53">
        <f>IFERROR(J39/'Tasas de Cambio'!$C$5,0)</f>
        <v>93765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57</v>
      </c>
      <c r="B40" s="29" t="s">
        <v>198</v>
      </c>
      <c r="C40" s="30">
        <v>46518.0</v>
      </c>
      <c r="D40" s="32" t="s">
        <v>329</v>
      </c>
      <c r="E40" s="33" t="s">
        <v>97</v>
      </c>
      <c r="F40" s="34">
        <v>120.0</v>
      </c>
      <c r="G40" s="33">
        <v>3.0</v>
      </c>
      <c r="H40" s="51">
        <f t="shared" si="1"/>
        <v>360</v>
      </c>
      <c r="I40" s="51">
        <f t="array" ref="I40">IFERROR(INDEX('Tasas de Cambio'!$E$11:$E$15,MATCH(E40,'Tasas de Cambio'!$B$11:$B$15,0)),0)</f>
        <v>3218.25</v>
      </c>
      <c r="J40" s="52">
        <f t="shared" si="2"/>
        <v>1158570</v>
      </c>
      <c r="K40" s="53">
        <f>IFERROR(J40/'Tasas de Cambio'!$C$5,0)</f>
        <v>386190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59</v>
      </c>
      <c r="B41" s="29" t="s">
        <v>198</v>
      </c>
      <c r="C41" s="30">
        <v>46518.0</v>
      </c>
      <c r="D41" s="32" t="s">
        <v>197</v>
      </c>
      <c r="E41" s="33" t="s">
        <v>12</v>
      </c>
      <c r="F41" s="34">
        <v>25.0</v>
      </c>
      <c r="G41" s="33">
        <v>3.0</v>
      </c>
      <c r="H41" s="51">
        <f t="shared" si="1"/>
        <v>75</v>
      </c>
      <c r="I41" s="51">
        <f t="array" ref="I41">IFERROR(INDEX('Tasas de Cambio'!$E$11:$E$15,MATCH(E41,'Tasas de Cambio'!$B$11:$B$15,0)),0)</f>
        <v>3750.6</v>
      </c>
      <c r="J41" s="52">
        <f t="shared" si="2"/>
        <v>281295</v>
      </c>
      <c r="K41" s="53">
        <f>IFERROR(J41/'Tasas de Cambio'!$C$5,0)</f>
        <v>93765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57</v>
      </c>
      <c r="B42" s="29" t="s">
        <v>201</v>
      </c>
      <c r="C42" s="30">
        <v>46519.0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 t="shared" si="1"/>
        <v>0</v>
      </c>
      <c r="I42" s="51">
        <f t="array" ref="I42">IFERROR(INDEX('Tasas de Cambio'!$E$11:$E$15,MATCH(E42,'Tasas de Cambio'!$B$11:$B$15,0)),0)</f>
        <v>3750.6</v>
      </c>
      <c r="J42" s="52">
        <f t="shared" si="2"/>
        <v>0</v>
      </c>
      <c r="K42" s="53">
        <f>IFERROR(J42/'Tasas de Cambio'!$C$5,0)</f>
        <v>0</v>
      </c>
      <c r="L42" s="5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29" t="s">
        <v>59</v>
      </c>
      <c r="B43" s="29" t="s">
        <v>201</v>
      </c>
      <c r="C43" s="30">
        <v>46519.0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3750.6</v>
      </c>
      <c r="J43" s="52">
        <f t="shared" si="2"/>
        <v>0</v>
      </c>
      <c r="K43" s="53">
        <f>IFERROR(J43/'Tasas de Cambio'!$C$5,0)</f>
        <v>0</v>
      </c>
      <c r="L43" s="54" t="s">
        <v>330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155.82</v>
      </c>
      <c r="J44" s="52">
        <f t="shared" si="2"/>
        <v>0</v>
      </c>
      <c r="K44" s="53">
        <f>IFERROR(J44/'Tasas de Cambio'!$C$5,0)</f>
        <v>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3750.6</v>
      </c>
      <c r="J45" s="52">
        <f t="shared" si="2"/>
        <v>112518</v>
      </c>
      <c r="K45" s="53">
        <f>IFERROR(J45/'Tasas de Cambio'!$C$5,0)</f>
        <v>37506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>
        <v>46521.0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 t="shared" si="1"/>
        <v>0</v>
      </c>
      <c r="I46" s="51">
        <f t="array" ref="I46">IFERROR(INDEX('Tasas de Cambio'!$E$11:$E$15,MATCH(E46,'Tasas de Cambio'!$B$11:$B$15,0)),0)</f>
        <v>3750.6</v>
      </c>
      <c r="J46" s="52">
        <f t="shared" si="2"/>
        <v>0</v>
      </c>
      <c r="K46" s="53">
        <f>IFERROR(J46/'Tasas de Cambio'!$C$5,0)</f>
        <v>0</v>
      </c>
      <c r="L46" s="54" t="s">
        <v>332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333</v>
      </c>
      <c r="E47" s="33" t="s">
        <v>12</v>
      </c>
      <c r="F47" s="34">
        <v>400.0</v>
      </c>
      <c r="G47" s="33">
        <v>1.0</v>
      </c>
      <c r="H47" s="51">
        <f t="shared" si="1"/>
        <v>400</v>
      </c>
      <c r="I47" s="51">
        <f t="array" ref="I47">IFERROR(INDEX('Tasas de Cambio'!$E$11:$E$15,MATCH(E47,'Tasas de Cambio'!$B$11:$B$15,0)),0)</f>
        <v>3750.6</v>
      </c>
      <c r="J47" s="52">
        <f t="shared" si="2"/>
        <v>1500240</v>
      </c>
      <c r="K47" s="53">
        <f>IFERROR(J47/'Tasas de Cambio'!$C$5,0)</f>
        <v>500080</v>
      </c>
      <c r="L47" s="54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29" t="s">
        <v>14</v>
      </c>
      <c r="B48" s="29" t="s">
        <v>209</v>
      </c>
      <c r="C48" s="30">
        <v>46522.0</v>
      </c>
      <c r="D48" s="32" t="s">
        <v>211</v>
      </c>
      <c r="E48" s="33" t="s">
        <v>12</v>
      </c>
      <c r="F48" s="34">
        <v>55.0</v>
      </c>
      <c r="G48" s="33">
        <v>3.0</v>
      </c>
      <c r="H48" s="51">
        <f t="shared" si="1"/>
        <v>165</v>
      </c>
      <c r="I48" s="51">
        <f t="array" ref="I48">IFERROR(INDEX('Tasas de Cambio'!$E$11:$E$15,MATCH(E48,'Tasas de Cambio'!$B$11:$B$15,0)),0)</f>
        <v>3750.6</v>
      </c>
      <c r="J48" s="52">
        <f t="shared" si="2"/>
        <v>618849</v>
      </c>
      <c r="K48" s="53">
        <f>IFERROR(J48/'Tasas de Cambio'!$C$5,0)</f>
        <v>206283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3750.6</v>
      </c>
      <c r="J49" s="52">
        <f t="shared" si="2"/>
        <v>337554</v>
      </c>
      <c r="K49" s="53">
        <f>IFERROR(J49/'Tasas de Cambio'!$C$5,0)</f>
        <v>112518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3750.6</v>
      </c>
      <c r="J51" s="52">
        <f t="shared" si="2"/>
        <v>112518</v>
      </c>
      <c r="K51" s="53">
        <f>IFERROR(J51/'Tasas de Cambio'!$C$5,0)</f>
        <v>37506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>
        <v>46523.0</v>
      </c>
      <c r="D52" s="32" t="s">
        <v>338</v>
      </c>
      <c r="E52" s="33" t="s">
        <v>12</v>
      </c>
      <c r="F52" s="34">
        <v>10.0</v>
      </c>
      <c r="G52" s="33">
        <v>3.0</v>
      </c>
      <c r="H52" s="51">
        <f t="shared" si="1"/>
        <v>30</v>
      </c>
      <c r="I52" s="51">
        <f t="array" ref="I52">IFERROR(INDEX('Tasas de Cambio'!$E$11:$E$15,MATCH(E52,'Tasas de Cambio'!$B$11:$B$15,0)),0)</f>
        <v>3750.6</v>
      </c>
      <c r="J52" s="52">
        <f t="shared" si="2"/>
        <v>112518</v>
      </c>
      <c r="K52" s="53">
        <f>IFERROR(J52/'Tasas de Cambio'!$C$5,0)</f>
        <v>37506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59</v>
      </c>
      <c r="B53" s="29" t="s">
        <v>228</v>
      </c>
      <c r="C53" s="30">
        <v>46523.0</v>
      </c>
      <c r="D53" s="32" t="s">
        <v>230</v>
      </c>
      <c r="E53" s="33" t="s">
        <v>12</v>
      </c>
      <c r="F53" s="34">
        <v>25.0</v>
      </c>
      <c r="G53" s="33">
        <v>3.0</v>
      </c>
      <c r="H53" s="51">
        <f t="shared" si="1"/>
        <v>75</v>
      </c>
      <c r="I53" s="51">
        <f t="array" ref="I53">IFERROR(INDEX('Tasas de Cambio'!$E$11:$E$15,MATCH(E53,'Tasas de Cambio'!$B$11:$B$15,0)),0)</f>
        <v>3750.6</v>
      </c>
      <c r="J53" s="52">
        <f t="shared" si="2"/>
        <v>281295</v>
      </c>
      <c r="K53" s="53">
        <f>IFERROR(J53/'Tasas de Cambio'!$C$5,0)</f>
        <v>93765</v>
      </c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32"/>
      <c r="E54" s="33"/>
      <c r="F54" s="34"/>
      <c r="G54" s="33"/>
      <c r="H54" s="51"/>
      <c r="I54" s="51"/>
      <c r="J54" s="52"/>
      <c r="K54" s="53"/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11</v>
      </c>
      <c r="B5" s="29"/>
      <c r="C5" s="30"/>
      <c r="D5" s="32"/>
      <c r="E5" s="33" t="s">
        <v>97</v>
      </c>
      <c r="F5" s="34"/>
      <c r="G5" s="33">
        <v>3.0</v>
      </c>
      <c r="H5" s="51">
        <f t="shared" ref="H5:H52" si="1">IFERROR(F5*G5,0)</f>
        <v>0</v>
      </c>
      <c r="I5" s="51">
        <f t="array" ref="I5">IFERROR(INDEX('Tasas de Cambio'!$E$11:$E$15,MATCH(E5,'Tasas de Cambio'!$B$11:$B$15,0)),0)</f>
        <v>3218.25</v>
      </c>
      <c r="J5" s="52">
        <f t="shared" ref="J5:J52" si="2">IFERROR(H5*I5,0)</f>
        <v>0</v>
      </c>
      <c r="K5" s="53">
        <f>IFERROR(J5/'Tasas de Cambio'!$C$5,0)</f>
        <v>0</v>
      </c>
      <c r="L5" s="54"/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11</v>
      </c>
      <c r="B6" s="29"/>
      <c r="C6" s="30"/>
      <c r="D6" s="32"/>
      <c r="E6" s="33" t="s">
        <v>12</v>
      </c>
      <c r="F6" s="34"/>
      <c r="G6" s="33">
        <v>3.0</v>
      </c>
      <c r="H6" s="51">
        <f t="shared" si="1"/>
        <v>0</v>
      </c>
      <c r="I6" s="51">
        <f t="array" ref="I6">IFERROR(INDEX('Tasas de Cambio'!$E$11:$E$15,MATCH(E6,'Tasas de Cambio'!$B$11:$B$15,0)),0)</f>
        <v>3750.6</v>
      </c>
      <c r="J6" s="52">
        <f t="shared" si="2"/>
        <v>0</v>
      </c>
      <c r="K6" s="53">
        <f>IFERROR(J6/'Tasas de Cambio'!$C$5,0)</f>
        <v>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11</v>
      </c>
      <c r="B7" s="29"/>
      <c r="C7" s="30"/>
      <c r="D7" s="32"/>
      <c r="E7" s="33" t="s">
        <v>12</v>
      </c>
      <c r="F7" s="34"/>
      <c r="G7" s="33">
        <v>3.0</v>
      </c>
      <c r="H7" s="51">
        <f t="shared" si="1"/>
        <v>0</v>
      </c>
      <c r="I7" s="51">
        <f t="array" ref="I7">IFERROR(INDEX('Tasas de Cambio'!$E$11:$E$15,MATCH(E7,'Tasas de Cambio'!$B$11:$B$15,0)),0)</f>
        <v>3750.6</v>
      </c>
      <c r="J7" s="52">
        <f t="shared" si="2"/>
        <v>0</v>
      </c>
      <c r="K7" s="53">
        <f>IFERROR(J7/'Tasas de Cambio'!$C$5,0)</f>
        <v>0</v>
      </c>
      <c r="L7" s="54"/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11</v>
      </c>
      <c r="B8" s="29"/>
      <c r="C8" s="30"/>
      <c r="D8" s="32"/>
      <c r="E8" s="33" t="s">
        <v>12</v>
      </c>
      <c r="F8" s="34"/>
      <c r="G8" s="33">
        <v>3.0</v>
      </c>
      <c r="H8" s="51">
        <f t="shared" si="1"/>
        <v>0</v>
      </c>
      <c r="I8" s="51">
        <f t="array" ref="I8">IFERROR(INDEX('Tasas de Cambio'!$E$11:$E$15,MATCH(E8,'Tasas de Cambio'!$B$11:$B$15,0)),0)</f>
        <v>3750.6</v>
      </c>
      <c r="J8" s="52">
        <f t="shared" si="2"/>
        <v>0</v>
      </c>
      <c r="K8" s="53">
        <f>IFERROR(J8/'Tasas de Cambio'!$C$5,0)</f>
        <v>0</v>
      </c>
      <c r="L8" s="54"/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/>
      <c r="C9" s="30"/>
      <c r="D9" s="32"/>
      <c r="E9" s="33" t="s">
        <v>97</v>
      </c>
      <c r="F9" s="34"/>
      <c r="G9" s="33">
        <v>1.0</v>
      </c>
      <c r="H9" s="51">
        <f t="shared" si="1"/>
        <v>0</v>
      </c>
      <c r="I9" s="51">
        <f t="array" ref="I9">IFERROR(INDEX('Tasas de Cambio'!$E$11:$E$15,MATCH(E9,'Tasas de Cambio'!$B$11:$B$15,0)),0)</f>
        <v>3218.25</v>
      </c>
      <c r="J9" s="52">
        <f t="shared" si="2"/>
        <v>0</v>
      </c>
      <c r="K9" s="53">
        <f>IFERROR(J9/'Tasas de Cambio'!$C$5,0)</f>
        <v>0</v>
      </c>
      <c r="L9" s="54"/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3218.25</v>
      </c>
      <c r="J10" s="52">
        <f t="shared" si="2"/>
        <v>167349</v>
      </c>
      <c r="K10" s="53">
        <f>IFERROR(J10/'Tasas de Cambio'!$C$5,0)</f>
        <v>55783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3750.6</v>
      </c>
      <c r="J13" s="52">
        <f t="shared" si="2"/>
        <v>281295</v>
      </c>
      <c r="K13" s="53">
        <f>IFERROR(J13/'Tasas de Cambio'!$C$5,0)</f>
        <v>93765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346</v>
      </c>
      <c r="E14" s="33" t="s">
        <v>12</v>
      </c>
      <c r="F14" s="34">
        <v>130.0</v>
      </c>
      <c r="G14" s="33">
        <v>5.0</v>
      </c>
      <c r="H14" s="51">
        <f t="shared" si="1"/>
        <v>650</v>
      </c>
      <c r="I14" s="51">
        <f t="array" ref="I14">IFERROR(INDEX('Tasas de Cambio'!$E$11:$E$15,MATCH(E14,'Tasas de Cambio'!$B$11:$B$15,0)),0)</f>
        <v>3750.6</v>
      </c>
      <c r="J14" s="52">
        <f t="shared" si="2"/>
        <v>2437890</v>
      </c>
      <c r="K14" s="53">
        <f>IFERROR(J14/'Tasas de Cambio'!$C$5,0)</f>
        <v>812630</v>
      </c>
      <c r="L14" s="54" t="s">
        <v>347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58</v>
      </c>
      <c r="E15" s="33" t="s">
        <v>55</v>
      </c>
      <c r="F15" s="34">
        <v>150000.0</v>
      </c>
      <c r="G15" s="33">
        <v>3.0</v>
      </c>
      <c r="H15" s="51">
        <f t="shared" si="1"/>
        <v>450000</v>
      </c>
      <c r="I15" s="51">
        <f t="array" ref="I15">IFERROR(INDEX('Tasas de Cambio'!$E$11:$E$15,MATCH(E15,'Tasas de Cambio'!$B$11:$B$15,0)),0)</f>
        <v>1</v>
      </c>
      <c r="J15" s="52">
        <f t="shared" si="2"/>
        <v>450000</v>
      </c>
      <c r="K15" s="53">
        <f>IFERROR(J15/'Tasas de Cambio'!$C$5,0)</f>
        <v>150000</v>
      </c>
      <c r="L15" s="5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3218.25</v>
      </c>
      <c r="J17" s="52">
        <f t="shared" si="2"/>
        <v>222059.25</v>
      </c>
      <c r="K17" s="53">
        <f>IFERROR(J17/'Tasas de Cambio'!$C$5,0)</f>
        <v>74019.75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>
        <v>46509.0</v>
      </c>
      <c r="D18" s="32" t="s">
        <v>126</v>
      </c>
      <c r="E18" s="33" t="s">
        <v>12</v>
      </c>
      <c r="F18" s="34">
        <v>40.0</v>
      </c>
      <c r="G18" s="33">
        <v>3.0</v>
      </c>
      <c r="H18" s="51">
        <f t="shared" si="1"/>
        <v>120</v>
      </c>
      <c r="I18" s="51">
        <f t="array" ref="I18">IFERROR(INDEX('Tasas de Cambio'!$E$11:$E$15,MATCH(E18,'Tasas de Cambio'!$B$11:$B$15,0)),0)</f>
        <v>3750.6</v>
      </c>
      <c r="J18" s="52">
        <f t="shared" si="2"/>
        <v>450072</v>
      </c>
      <c r="K18" s="53">
        <f>IFERROR(J18/'Tasas de Cambio'!$C$5,0)</f>
        <v>150024</v>
      </c>
      <c r="L18" s="54" t="s">
        <v>351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3750.6</v>
      </c>
      <c r="J19" s="52">
        <f t="shared" si="2"/>
        <v>956403</v>
      </c>
      <c r="K19" s="53">
        <f>IFERROR(J19/'Tasas de Cambio'!$C$5,0)</f>
        <v>318801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>
        <v>46510.0</v>
      </c>
      <c r="D20" s="32" t="s">
        <v>126</v>
      </c>
      <c r="E20" s="33" t="s">
        <v>12</v>
      </c>
      <c r="F20" s="34">
        <v>40.0</v>
      </c>
      <c r="G20" s="33">
        <v>3.0</v>
      </c>
      <c r="H20" s="51">
        <f t="shared" si="1"/>
        <v>120</v>
      </c>
      <c r="I20" s="51">
        <f t="array" ref="I20">IFERROR(INDEX('Tasas de Cambio'!$E$11:$E$15,MATCH(E20,'Tasas de Cambio'!$B$11:$B$15,0)),0)</f>
        <v>3750.6</v>
      </c>
      <c r="J20" s="52">
        <f t="shared" si="2"/>
        <v>450072</v>
      </c>
      <c r="K20" s="53">
        <f>IFERROR(J20/'Tasas de Cambio'!$C$5,0)</f>
        <v>150024</v>
      </c>
      <c r="L20" s="54" t="s">
        <v>351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>
        <v>46511.0</v>
      </c>
      <c r="D22" s="32" t="s">
        <v>126</v>
      </c>
      <c r="E22" s="33" t="s">
        <v>12</v>
      </c>
      <c r="F22" s="34">
        <v>40.0</v>
      </c>
      <c r="G22" s="33">
        <v>3.0</v>
      </c>
      <c r="H22" s="51">
        <f t="shared" si="1"/>
        <v>120</v>
      </c>
      <c r="I22" s="51">
        <f t="array" ref="I22">IFERROR(INDEX('Tasas de Cambio'!$E$11:$E$15,MATCH(E22,'Tasas de Cambio'!$B$11:$B$15,0)),0)</f>
        <v>3750.6</v>
      </c>
      <c r="J22" s="52">
        <f t="shared" si="2"/>
        <v>450072</v>
      </c>
      <c r="K22" s="53">
        <f>IFERROR(J22/'Tasas de Cambio'!$C$5,0)</f>
        <v>150024</v>
      </c>
      <c r="L22" s="54" t="s">
        <v>351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292</v>
      </c>
      <c r="C23" s="30">
        <v>46512.0</v>
      </c>
      <c r="D23" s="32" t="s">
        <v>126</v>
      </c>
      <c r="E23" s="33" t="s">
        <v>12</v>
      </c>
      <c r="F23" s="34">
        <v>40.0</v>
      </c>
      <c r="G23" s="33">
        <v>3.0</v>
      </c>
      <c r="H23" s="51">
        <f t="shared" si="1"/>
        <v>120</v>
      </c>
      <c r="I23" s="51">
        <f t="array" ref="I23">IFERROR(INDEX('Tasas de Cambio'!$E$11:$E$15,MATCH(E23,'Tasas de Cambio'!$B$11:$B$15,0)),0)</f>
        <v>3750.6</v>
      </c>
      <c r="J23" s="52">
        <f t="shared" si="2"/>
        <v>450072</v>
      </c>
      <c r="K23" s="53">
        <f>IFERROR(J23/'Tasas de Cambio'!$C$5,0)</f>
        <v>150024</v>
      </c>
      <c r="L23" s="54" t="s">
        <v>351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318</v>
      </c>
      <c r="E24" s="33" t="s">
        <v>12</v>
      </c>
      <c r="F24" s="34">
        <v>520.0</v>
      </c>
      <c r="G24" s="33">
        <v>1.0</v>
      </c>
      <c r="H24" s="51">
        <f t="shared" si="1"/>
        <v>520</v>
      </c>
      <c r="I24" s="51">
        <f t="array" ref="I24">IFERROR(INDEX('Tasas de Cambio'!$E$11:$E$15,MATCH(E24,'Tasas de Cambio'!$B$11:$B$15,0)),0)</f>
        <v>3750.6</v>
      </c>
      <c r="J24" s="52">
        <f t="shared" si="2"/>
        <v>1950312</v>
      </c>
      <c r="K24" s="53">
        <f>IFERROR(J24/'Tasas de Cambio'!$C$5,0)</f>
        <v>650104</v>
      </c>
      <c r="L24" s="5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3750.6</v>
      </c>
      <c r="J25" s="52">
        <f t="shared" si="2"/>
        <v>1766195.046</v>
      </c>
      <c r="K25" s="53">
        <f>IFERROR(J25/'Tasas de Cambio'!$C$5,0)</f>
        <v>588731.682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3750.6</v>
      </c>
      <c r="J26" s="52">
        <f t="shared" si="2"/>
        <v>281295</v>
      </c>
      <c r="K26" s="53">
        <f>IFERROR(J26/'Tasas de Cambio'!$C$5,0)</f>
        <v>93765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>
        <v>46513.0</v>
      </c>
      <c r="D27" s="32" t="s">
        <v>323</v>
      </c>
      <c r="E27" s="33" t="s">
        <v>12</v>
      </c>
      <c r="F27" s="34">
        <v>40.0</v>
      </c>
      <c r="G27" s="33">
        <v>1.0</v>
      </c>
      <c r="H27" s="51">
        <f t="shared" si="1"/>
        <v>40</v>
      </c>
      <c r="I27" s="51">
        <f t="array" ref="I27">IFERROR(INDEX('Tasas de Cambio'!$E$11:$E$15,MATCH(E27,'Tasas de Cambio'!$B$11:$B$15,0)),0)</f>
        <v>3750.6</v>
      </c>
      <c r="J27" s="52">
        <f t="shared" si="2"/>
        <v>150024</v>
      </c>
      <c r="K27" s="53">
        <f>IFERROR(J27/'Tasas de Cambio'!$C$5,0)</f>
        <v>50008</v>
      </c>
      <c r="L27" s="5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57</v>
      </c>
      <c r="B29" s="29" t="s">
        <v>171</v>
      </c>
      <c r="C29" s="30">
        <v>46514.0</v>
      </c>
      <c r="D29" s="32" t="s">
        <v>324</v>
      </c>
      <c r="E29" s="33" t="s">
        <v>12</v>
      </c>
      <c r="F29" s="34">
        <v>20.0</v>
      </c>
      <c r="G29" s="33">
        <v>3.0</v>
      </c>
      <c r="H29" s="51">
        <f t="shared" si="1"/>
        <v>60</v>
      </c>
      <c r="I29" s="51">
        <f t="array" ref="I29">IFERROR(INDEX('Tasas de Cambio'!$E$11:$E$15,MATCH(E29,'Tasas de Cambio'!$B$11:$B$15,0)),0)</f>
        <v>3750.6</v>
      </c>
      <c r="J29" s="52">
        <f t="shared" si="2"/>
        <v>225036</v>
      </c>
      <c r="K29" s="53">
        <f>IFERROR(J29/'Tasas de Cambio'!$C$5,0)</f>
        <v>75012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3750.6</v>
      </c>
      <c r="J30" s="52">
        <f t="shared" si="2"/>
        <v>337554</v>
      </c>
      <c r="K30" s="53">
        <f>IFERROR(J30/'Tasas de Cambio'!$C$5,0)</f>
        <v>112518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>
        <v>46514.0</v>
      </c>
      <c r="D31" s="32" t="s">
        <v>325</v>
      </c>
      <c r="E31" s="33" t="s">
        <v>12</v>
      </c>
      <c r="F31" s="34">
        <v>12.0</v>
      </c>
      <c r="G31" s="33">
        <v>3.0</v>
      </c>
      <c r="H31" s="51">
        <f t="shared" si="1"/>
        <v>36</v>
      </c>
      <c r="I31" s="51">
        <f t="array" ref="I31">IFERROR(INDEX('Tasas de Cambio'!$E$11:$E$15,MATCH(E31,'Tasas de Cambio'!$B$11:$B$15,0)),0)</f>
        <v>3750.6</v>
      </c>
      <c r="J31" s="52">
        <f t="shared" si="2"/>
        <v>135021.6</v>
      </c>
      <c r="K31" s="53">
        <f>IFERROR(J31/'Tasas de Cambio'!$C$5,0)</f>
        <v>45007.2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 t="shared" si="1"/>
        <v>2010</v>
      </c>
      <c r="I32" s="51">
        <f t="array" ref="I32">IFERROR(INDEX('Tasas de Cambio'!$E$11:$E$15,MATCH(E32,'Tasas de Cambio'!$B$11:$B$15,0)),0)</f>
        <v>3218.25</v>
      </c>
      <c r="J32" s="52">
        <f t="shared" si="2"/>
        <v>6468682.5</v>
      </c>
      <c r="K32" s="53">
        <f>IFERROR(J32/'Tasas de Cambio'!$C$5,0)</f>
        <v>2156227.5</v>
      </c>
      <c r="L32" s="5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3750.6</v>
      </c>
      <c r="J33" s="52">
        <f t="shared" si="2"/>
        <v>112518</v>
      </c>
      <c r="K33" s="53">
        <f>IFERROR(J33/'Tasas de Cambio'!$C$5,0)</f>
        <v>37506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3750.6</v>
      </c>
      <c r="J36" s="52">
        <f t="shared" si="2"/>
        <v>0</v>
      </c>
      <c r="K36" s="53">
        <f>IFERROR(J36/'Tasas de Cambio'!$C$5,0)</f>
        <v>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>
        <v>46517.0</v>
      </c>
      <c r="D37" s="32" t="s">
        <v>328</v>
      </c>
      <c r="E37" s="33" t="s">
        <v>97</v>
      </c>
      <c r="F37" s="34">
        <v>70.0</v>
      </c>
      <c r="G37" s="33">
        <v>3.0</v>
      </c>
      <c r="H37" s="51">
        <f t="shared" si="1"/>
        <v>210</v>
      </c>
      <c r="I37" s="51">
        <f t="array" ref="I37">IFERROR(INDEX('Tasas de Cambio'!$E$11:$E$15,MATCH(E37,'Tasas de Cambio'!$B$11:$B$15,0)),0)</f>
        <v>3218.25</v>
      </c>
      <c r="J37" s="52">
        <f t="shared" si="2"/>
        <v>675832.5</v>
      </c>
      <c r="K37" s="53">
        <f>IFERROR(J37/'Tasas de Cambio'!$C$5,0)</f>
        <v>225277.5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59</v>
      </c>
      <c r="B38" s="29" t="s">
        <v>194</v>
      </c>
      <c r="C38" s="30">
        <v>46517.0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57</v>
      </c>
      <c r="B39" s="29" t="s">
        <v>198</v>
      </c>
      <c r="C39" s="30">
        <v>46518.0</v>
      </c>
      <c r="D39" s="32" t="s">
        <v>329</v>
      </c>
      <c r="E39" s="33" t="s">
        <v>97</v>
      </c>
      <c r="F39" s="34">
        <v>120.0</v>
      </c>
      <c r="G39" s="33">
        <v>3.0</v>
      </c>
      <c r="H39" s="51">
        <f t="shared" si="1"/>
        <v>360</v>
      </c>
      <c r="I39" s="51">
        <f t="array" ref="I39">IFERROR(INDEX('Tasas de Cambio'!$E$11:$E$15,MATCH(E39,'Tasas de Cambio'!$B$11:$B$15,0)),0)</f>
        <v>3218.25</v>
      </c>
      <c r="J39" s="52">
        <f t="shared" si="2"/>
        <v>1158570</v>
      </c>
      <c r="K39" s="53">
        <f>IFERROR(J39/'Tasas de Cambio'!$C$5,0)</f>
        <v>386190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59</v>
      </c>
      <c r="B40" s="29" t="s">
        <v>198</v>
      </c>
      <c r="C40" s="30">
        <v>46518.0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57</v>
      </c>
      <c r="B41" s="29" t="s">
        <v>201</v>
      </c>
      <c r="C41" s="30">
        <v>46519.0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3750.6</v>
      </c>
      <c r="J41" s="52">
        <f t="shared" si="2"/>
        <v>0</v>
      </c>
      <c r="K41" s="53">
        <f>IFERROR(J41/'Tasas de Cambio'!$C$5,0)</f>
        <v>0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>
        <v>46519.0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 t="shared" si="1"/>
        <v>0</v>
      </c>
      <c r="I42" s="51">
        <f t="array" ref="I42">IFERROR(INDEX('Tasas de Cambio'!$E$11:$E$15,MATCH(E42,'Tasas de Cambio'!$B$11:$B$15,0)),0)</f>
        <v>3750.6</v>
      </c>
      <c r="J42" s="52">
        <f t="shared" si="2"/>
        <v>0</v>
      </c>
      <c r="K42" s="53">
        <f>IFERROR(J42/'Tasas de Cambio'!$C$5,0)</f>
        <v>0</v>
      </c>
      <c r="L42" s="54" t="s">
        <v>330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155.82</v>
      </c>
      <c r="J43" s="52">
        <f t="shared" si="2"/>
        <v>0</v>
      </c>
      <c r="K43" s="53">
        <f>IFERROR(J43/'Tasas de Cambio'!$C$5,0)</f>
        <v>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3750.6</v>
      </c>
      <c r="J44" s="52">
        <f t="shared" si="2"/>
        <v>112518</v>
      </c>
      <c r="K44" s="53">
        <f>IFERROR(J44/'Tasas de Cambio'!$C$5,0)</f>
        <v>37506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>
        <v>46521.0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 t="shared" si="1"/>
        <v>0</v>
      </c>
      <c r="I45" s="51">
        <f t="array" ref="I45">IFERROR(INDEX('Tasas de Cambio'!$E$11:$E$15,MATCH(E45,'Tasas de Cambio'!$B$11:$B$15,0)),0)</f>
        <v>3750.6</v>
      </c>
      <c r="J45" s="52">
        <f t="shared" si="2"/>
        <v>0</v>
      </c>
      <c r="K45" s="53">
        <f>IFERROR(J45/'Tasas de Cambio'!$C$5,0)</f>
        <v>0</v>
      </c>
      <c r="L45" s="54" t="s">
        <v>332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333</v>
      </c>
      <c r="E46" s="33" t="s">
        <v>12</v>
      </c>
      <c r="F46" s="34">
        <v>400.0</v>
      </c>
      <c r="G46" s="33">
        <v>1.0</v>
      </c>
      <c r="H46" s="51">
        <f t="shared" si="1"/>
        <v>400</v>
      </c>
      <c r="I46" s="51">
        <f t="array" ref="I46">IFERROR(INDEX('Tasas de Cambio'!$E$11:$E$15,MATCH(E46,'Tasas de Cambio'!$B$11:$B$15,0)),0)</f>
        <v>3750.6</v>
      </c>
      <c r="J46" s="52">
        <f t="shared" si="2"/>
        <v>1500240</v>
      </c>
      <c r="K46" s="53">
        <f>IFERROR(J46/'Tasas de Cambio'!$C$5,0)</f>
        <v>500080</v>
      </c>
      <c r="L46" s="54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0" customHeight="1">
      <c r="A47" s="29" t="s">
        <v>14</v>
      </c>
      <c r="B47" s="29" t="s">
        <v>209</v>
      </c>
      <c r="C47" s="30">
        <v>46522.0</v>
      </c>
      <c r="D47" s="32" t="s">
        <v>211</v>
      </c>
      <c r="E47" s="33" t="s">
        <v>12</v>
      </c>
      <c r="F47" s="34">
        <v>55.0</v>
      </c>
      <c r="G47" s="33">
        <v>3.0</v>
      </c>
      <c r="H47" s="51">
        <f t="shared" si="1"/>
        <v>165</v>
      </c>
      <c r="I47" s="51">
        <f t="array" ref="I47">IFERROR(INDEX('Tasas de Cambio'!$E$11:$E$15,MATCH(E47,'Tasas de Cambio'!$B$11:$B$15,0)),0)</f>
        <v>3750.6</v>
      </c>
      <c r="J47" s="52">
        <f t="shared" si="2"/>
        <v>618849</v>
      </c>
      <c r="K47" s="53">
        <f>IFERROR(J47/'Tasas de Cambio'!$C$5,0)</f>
        <v>206283</v>
      </c>
      <c r="L47" s="54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3750.6</v>
      </c>
      <c r="J50" s="52">
        <f t="shared" si="2"/>
        <v>112518</v>
      </c>
      <c r="K50" s="53">
        <f>IFERROR(J50/'Tasas de Cambio'!$C$5,0)</f>
        <v>37506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>
        <v>46523.0</v>
      </c>
      <c r="D51" s="32" t="s">
        <v>338</v>
      </c>
      <c r="E51" s="33" t="s">
        <v>12</v>
      </c>
      <c r="F51" s="34">
        <v>10.0</v>
      </c>
      <c r="G51" s="33">
        <v>3.0</v>
      </c>
      <c r="H51" s="51">
        <f t="shared" si="1"/>
        <v>30</v>
      </c>
      <c r="I51" s="51">
        <f t="array" ref="I51">IFERROR(INDEX('Tasas de Cambio'!$E$11:$E$15,MATCH(E51,'Tasas de Cambio'!$B$11:$B$15,0)),0)</f>
        <v>3750.6</v>
      </c>
      <c r="J51" s="52">
        <f t="shared" si="2"/>
        <v>112518</v>
      </c>
      <c r="K51" s="53">
        <f>IFERROR(J51/'Tasas de Cambio'!$C$5,0)</f>
        <v>37506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59</v>
      </c>
      <c r="B52" s="29" t="s">
        <v>228</v>
      </c>
      <c r="C52" s="30">
        <v>46523.0</v>
      </c>
      <c r="D52" s="32" t="s">
        <v>230</v>
      </c>
      <c r="E52" s="33" t="s">
        <v>12</v>
      </c>
      <c r="F52" s="34">
        <v>25.0</v>
      </c>
      <c r="G52" s="33">
        <v>3.0</v>
      </c>
      <c r="H52" s="51">
        <f t="shared" si="1"/>
        <v>75</v>
      </c>
      <c r="I52" s="51">
        <f t="array" ref="I52">IFERROR(INDEX('Tasas de Cambio'!$E$11:$E$15,MATCH(E52,'Tasas de Cambio'!$B$11:$B$15,0)),0)</f>
        <v>3750.6</v>
      </c>
      <c r="J52" s="52">
        <f t="shared" si="2"/>
        <v>281295</v>
      </c>
      <c r="K52" s="53">
        <f>IFERROR(J52/'Tasas de Cambio'!$C$5,0)</f>
        <v>93765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/>
      <c r="B53" s="29"/>
      <c r="C53" s="30"/>
      <c r="D53" s="32"/>
      <c r="E53" s="33"/>
      <c r="F53" s="34"/>
      <c r="G53" s="33"/>
      <c r="H53" s="51"/>
      <c r="I53" s="51"/>
      <c r="J53" s="52"/>
      <c r="K53" s="53"/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3218.25</v>
      </c>
      <c r="J5" s="52">
        <f t="shared" ref="J5:J33" si="2">IFERROR(H5*I5,0)</f>
        <v>128730</v>
      </c>
      <c r="K5" s="53">
        <f>IFERROR(J5/'Tasas de Cambio'!$C$5,0)</f>
        <v>42910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3750.6</v>
      </c>
      <c r="J6" s="52">
        <f t="shared" si="2"/>
        <v>2250360</v>
      </c>
      <c r="K6" s="53">
        <f>IFERROR(J6/'Tasas de Cambio'!$C$5,0)</f>
        <v>750120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58</v>
      </c>
      <c r="E7" s="33" t="s">
        <v>55</v>
      </c>
      <c r="F7" s="34">
        <v>150000.0</v>
      </c>
      <c r="G7" s="33">
        <v>3.0</v>
      </c>
      <c r="H7" s="51">
        <f t="shared" si="1"/>
        <v>450000</v>
      </c>
      <c r="I7" s="51">
        <f t="array" ref="I7">IFERROR(INDEX('Tasas de Cambio'!$E$11:$E$15,MATCH(E7,'Tasas de Cambio'!$B$11:$B$15,0)),0)</f>
        <v>1</v>
      </c>
      <c r="J7" s="52">
        <f t="shared" si="2"/>
        <v>450000</v>
      </c>
      <c r="K7" s="53">
        <f>IFERROR(J7/'Tasas de Cambio'!$C$5,0)</f>
        <v>150000</v>
      </c>
      <c r="L7" s="54"/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318</v>
      </c>
      <c r="E9" s="33" t="s">
        <v>12</v>
      </c>
      <c r="F9" s="34">
        <v>520.0</v>
      </c>
      <c r="G9" s="33">
        <v>1.0</v>
      </c>
      <c r="H9" s="51">
        <f t="shared" si="1"/>
        <v>520</v>
      </c>
      <c r="I9" s="51">
        <f t="array" ref="I9">IFERROR(INDEX('Tasas de Cambio'!$E$11:$E$15,MATCH(E9,'Tasas de Cambio'!$B$11:$B$15,0)),0)</f>
        <v>3750.6</v>
      </c>
      <c r="J9" s="52">
        <f t="shared" si="2"/>
        <v>1950312</v>
      </c>
      <c r="K9" s="53">
        <f>IFERROR(J9/'Tasas de Cambio'!$C$5,0)</f>
        <v>650104</v>
      </c>
      <c r="L9" s="5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29" t="s">
        <v>14</v>
      </c>
      <c r="B10" s="29" t="s">
        <v>159</v>
      </c>
      <c r="C10" s="30">
        <v>46513.0</v>
      </c>
      <c r="D10" s="32" t="s">
        <v>323</v>
      </c>
      <c r="E10" s="33" t="s">
        <v>12</v>
      </c>
      <c r="F10" s="34">
        <v>40.0</v>
      </c>
      <c r="G10" s="33">
        <v>1.0</v>
      </c>
      <c r="H10" s="51">
        <f t="shared" si="1"/>
        <v>40</v>
      </c>
      <c r="I10" s="51">
        <f t="array" ref="I10">IFERROR(INDEX('Tasas de Cambio'!$E$11:$E$15,MATCH(E10,'Tasas de Cambio'!$B$11:$B$15,0)),0)</f>
        <v>3750.6</v>
      </c>
      <c r="J10" s="52">
        <f t="shared" si="2"/>
        <v>150024</v>
      </c>
      <c r="K10" s="53">
        <f>IFERROR(J10/'Tasas de Cambio'!$C$5,0)</f>
        <v>50008</v>
      </c>
      <c r="L10" s="5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3750.6</v>
      </c>
      <c r="J11" s="52">
        <f t="shared" si="2"/>
        <v>168777</v>
      </c>
      <c r="K11" s="53">
        <f>IFERROR(J11/'Tasas de Cambio'!$C$5,0)</f>
        <v>56259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>
        <v>46514.0</v>
      </c>
      <c r="D12" s="32" t="s">
        <v>324</v>
      </c>
      <c r="E12" s="33" t="s">
        <v>12</v>
      </c>
      <c r="F12" s="34">
        <v>20.0</v>
      </c>
      <c r="G12" s="33">
        <v>3.0</v>
      </c>
      <c r="H12" s="51">
        <f t="shared" si="1"/>
        <v>60</v>
      </c>
      <c r="I12" s="51">
        <f t="array" ref="I12">IFERROR(INDEX('Tasas de Cambio'!$E$11:$E$15,MATCH(E12,'Tasas de Cambio'!$B$11:$B$15,0)),0)</f>
        <v>3750.6</v>
      </c>
      <c r="J12" s="52">
        <f t="shared" si="2"/>
        <v>225036</v>
      </c>
      <c r="K12" s="53">
        <f>IFERROR(J12/'Tasas de Cambio'!$C$5,0)</f>
        <v>75012</v>
      </c>
      <c r="L12" s="54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3750.6</v>
      </c>
      <c r="J13" s="52">
        <f t="shared" si="2"/>
        <v>337554</v>
      </c>
      <c r="K13" s="53">
        <f>IFERROR(J13/'Tasas de Cambio'!$C$5,0)</f>
        <v>112518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>
        <v>46514.0</v>
      </c>
      <c r="D14" s="32" t="s">
        <v>325</v>
      </c>
      <c r="E14" s="33" t="s">
        <v>12</v>
      </c>
      <c r="F14" s="34">
        <v>12.0</v>
      </c>
      <c r="G14" s="33">
        <v>3.0</v>
      </c>
      <c r="H14" s="51">
        <f t="shared" si="1"/>
        <v>36</v>
      </c>
      <c r="I14" s="51">
        <f t="array" ref="I14">IFERROR(INDEX('Tasas de Cambio'!$E$11:$E$15,MATCH(E14,'Tasas de Cambio'!$B$11:$B$15,0)),0)</f>
        <v>3750.6</v>
      </c>
      <c r="J14" s="52">
        <f t="shared" si="2"/>
        <v>135021.6</v>
      </c>
      <c r="K14" s="53">
        <f>IFERROR(J14/'Tasas de Cambio'!$C$5,0)</f>
        <v>45007.2</v>
      </c>
      <c r="L14" s="5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 t="shared" si="1"/>
        <v>2010</v>
      </c>
      <c r="I15" s="51">
        <f t="array" ref="I15">IFERROR(INDEX('Tasas de Cambio'!$E$11:$E$15,MATCH(E15,'Tasas de Cambio'!$B$11:$B$15,0)),0)</f>
        <v>3218.25</v>
      </c>
      <c r="J15" s="52">
        <f t="shared" si="2"/>
        <v>6468682.5</v>
      </c>
      <c r="K15" s="53">
        <f>IFERROR(J15/'Tasas de Cambio'!$C$5,0)</f>
        <v>2156227.5</v>
      </c>
      <c r="L15" s="5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3750.6</v>
      </c>
      <c r="J16" s="52">
        <f t="shared" si="2"/>
        <v>112518</v>
      </c>
      <c r="K16" s="53">
        <f>IFERROR(J16/'Tasas de Cambio'!$C$5,0)</f>
        <v>37506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3750.6</v>
      </c>
      <c r="J17" s="52">
        <f t="shared" si="2"/>
        <v>0</v>
      </c>
      <c r="K17" s="53">
        <f>IFERROR(J17/'Tasas de Cambio'!$C$5,0)</f>
        <v>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3750.6</v>
      </c>
      <c r="J18" s="52">
        <f t="shared" si="2"/>
        <v>112518</v>
      </c>
      <c r="K18" s="53">
        <f>IFERROR(J18/'Tasas de Cambio'!$C$5,0)</f>
        <v>37506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3750.6</v>
      </c>
      <c r="J19" s="52">
        <f t="shared" si="2"/>
        <v>0</v>
      </c>
      <c r="K19" s="53">
        <f>IFERROR(J19/'Tasas de Cambio'!$C$5,0)</f>
        <v>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>
        <v>46517.0</v>
      </c>
      <c r="D20" s="32" t="s">
        <v>328</v>
      </c>
      <c r="E20" s="33" t="s">
        <v>97</v>
      </c>
      <c r="F20" s="34">
        <v>70.0</v>
      </c>
      <c r="G20" s="33">
        <v>3.0</v>
      </c>
      <c r="H20" s="51">
        <f t="shared" si="1"/>
        <v>210</v>
      </c>
      <c r="I20" s="51">
        <f t="array" ref="I20">IFERROR(INDEX('Tasas de Cambio'!$E$11:$E$15,MATCH(E20,'Tasas de Cambio'!$B$11:$B$15,0)),0)</f>
        <v>3218.25</v>
      </c>
      <c r="J20" s="52">
        <f t="shared" si="2"/>
        <v>675832.5</v>
      </c>
      <c r="K20" s="53">
        <f>IFERROR(J20/'Tasas de Cambio'!$C$5,0)</f>
        <v>225277.5</v>
      </c>
      <c r="L20" s="5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>
        <v>46518.0</v>
      </c>
      <c r="D22" s="32" t="s">
        <v>329</v>
      </c>
      <c r="E22" s="33" t="s">
        <v>97</v>
      </c>
      <c r="F22" s="34">
        <v>120.0</v>
      </c>
      <c r="G22" s="33">
        <v>3.0</v>
      </c>
      <c r="H22" s="51">
        <f t="shared" si="1"/>
        <v>360</v>
      </c>
      <c r="I22" s="51">
        <f t="array" ref="I22">IFERROR(INDEX('Tasas de Cambio'!$E$11:$E$15,MATCH(E22,'Tasas de Cambio'!$B$11:$B$15,0)),0)</f>
        <v>3218.25</v>
      </c>
      <c r="J22" s="52">
        <f t="shared" si="2"/>
        <v>1158570</v>
      </c>
      <c r="K22" s="53">
        <f>IFERROR(J22/'Tasas de Cambio'!$C$5,0)</f>
        <v>386190</v>
      </c>
      <c r="L22" s="5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3750.6</v>
      </c>
      <c r="J23" s="52">
        <f t="shared" si="2"/>
        <v>281295</v>
      </c>
      <c r="K23" s="53">
        <f>IFERROR(J23/'Tasas de Cambio'!$C$5,0)</f>
        <v>93765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>
        <v>46519.0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 t="shared" si="1"/>
        <v>0</v>
      </c>
      <c r="I24" s="51">
        <f t="array" ref="I24">IFERROR(INDEX('Tasas de Cambio'!$E$11:$E$15,MATCH(E24,'Tasas de Cambio'!$B$11:$B$15,0)),0)</f>
        <v>3750.6</v>
      </c>
      <c r="J24" s="52">
        <f t="shared" si="2"/>
        <v>0</v>
      </c>
      <c r="K24" s="53">
        <f>IFERROR(J24/'Tasas de Cambio'!$C$5,0)</f>
        <v>0</v>
      </c>
      <c r="L24" s="5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155.82</v>
      </c>
      <c r="J25" s="52">
        <f t="shared" si="2"/>
        <v>0</v>
      </c>
      <c r="K25" s="53">
        <f>IFERROR(J25/'Tasas de Cambio'!$C$5,0)</f>
        <v>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3750.6</v>
      </c>
      <c r="J26" s="52">
        <f t="shared" si="2"/>
        <v>112518</v>
      </c>
      <c r="K26" s="53">
        <f>IFERROR(J26/'Tasas de Cambio'!$C$5,0)</f>
        <v>37506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333</v>
      </c>
      <c r="E27" s="33" t="s">
        <v>12</v>
      </c>
      <c r="F27" s="34">
        <v>400.0</v>
      </c>
      <c r="G27" s="33">
        <v>1.0</v>
      </c>
      <c r="H27" s="51">
        <f t="shared" si="1"/>
        <v>400</v>
      </c>
      <c r="I27" s="51">
        <f t="array" ref="I27">IFERROR(INDEX('Tasas de Cambio'!$E$11:$E$15,MATCH(E27,'Tasas de Cambio'!$B$11:$B$15,0)),0)</f>
        <v>3750.6</v>
      </c>
      <c r="J27" s="52">
        <f t="shared" si="2"/>
        <v>1500240</v>
      </c>
      <c r="K27" s="53">
        <f>IFERROR(J27/'Tasas de Cambio'!$C$5,0)</f>
        <v>500080</v>
      </c>
      <c r="L27" s="5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30.0" customHeight="1">
      <c r="A28" s="29" t="s">
        <v>14</v>
      </c>
      <c r="B28" s="29" t="s">
        <v>209</v>
      </c>
      <c r="C28" s="30">
        <v>46522.0</v>
      </c>
      <c r="D28" s="32" t="s">
        <v>211</v>
      </c>
      <c r="E28" s="33" t="s">
        <v>12</v>
      </c>
      <c r="F28" s="34">
        <v>55.0</v>
      </c>
      <c r="G28" s="33">
        <v>3.0</v>
      </c>
      <c r="H28" s="51">
        <f t="shared" si="1"/>
        <v>165</v>
      </c>
      <c r="I28" s="51">
        <f t="array" ref="I28">IFERROR(INDEX('Tasas de Cambio'!$E$11:$E$15,MATCH(E28,'Tasas de Cambio'!$B$11:$B$15,0)),0)</f>
        <v>3750.6</v>
      </c>
      <c r="J28" s="52">
        <f t="shared" si="2"/>
        <v>618849</v>
      </c>
      <c r="K28" s="53">
        <f>IFERROR(J28/'Tasas de Cambio'!$C$5,0)</f>
        <v>206283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3750.6</v>
      </c>
      <c r="J29" s="52">
        <f t="shared" si="2"/>
        <v>337554</v>
      </c>
      <c r="K29" s="53">
        <f>IFERROR(J29/'Tasas de Cambio'!$C$5,0)</f>
        <v>112518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3750.6</v>
      </c>
      <c r="J31" s="52">
        <f t="shared" si="2"/>
        <v>112518</v>
      </c>
      <c r="K31" s="53">
        <f>IFERROR(J31/'Tasas de Cambio'!$C$5,0)</f>
        <v>37506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>
        <v>46523.0</v>
      </c>
      <c r="D32" s="32" t="s">
        <v>338</v>
      </c>
      <c r="E32" s="33" t="s">
        <v>12</v>
      </c>
      <c r="F32" s="34">
        <v>10.0</v>
      </c>
      <c r="G32" s="33">
        <v>3.0</v>
      </c>
      <c r="H32" s="51">
        <f t="shared" si="1"/>
        <v>30</v>
      </c>
      <c r="I32" s="51">
        <f t="array" ref="I32">IFERROR(INDEX('Tasas de Cambio'!$E$11:$E$15,MATCH(E32,'Tasas de Cambio'!$B$11:$B$15,0)),0)</f>
        <v>3750.6</v>
      </c>
      <c r="J32" s="52">
        <f t="shared" si="2"/>
        <v>112518</v>
      </c>
      <c r="K32" s="53">
        <f>IFERROR(J32/'Tasas de Cambio'!$C$5,0)</f>
        <v>37506</v>
      </c>
      <c r="L32" s="5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3.0</v>
      </c>
      <c r="H33" s="51">
        <f t="shared" si="1"/>
        <v>75</v>
      </c>
      <c r="I33" s="51">
        <f t="array" ref="I33">IFERROR(INDEX('Tasas de Cambio'!$E$11:$E$15,MATCH(E33,'Tasas de Cambio'!$B$11:$B$15,0)),0)</f>
        <v>3750.6</v>
      </c>
      <c r="J33" s="52">
        <f t="shared" si="2"/>
        <v>281295</v>
      </c>
      <c r="K33" s="53">
        <f>IFERROR(J33/'Tasas de Cambio'!$C$5,0)</f>
        <v>93765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/>
      <c r="B34" s="29"/>
      <c r="C34" s="30"/>
      <c r="D34" s="32"/>
      <c r="E34" s="33"/>
      <c r="F34" s="34"/>
      <c r="G34" s="33"/>
      <c r="H34" s="51"/>
      <c r="I34" s="51"/>
      <c r="J34" s="52"/>
      <c r="K34" s="53"/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