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2.xml"/>
  <Override ContentType="application/vnd.openxmlformats-officedocument.drawing+xml" PartName="/xl/drawings/drawing12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Resumen Comparativo" sheetId="1" r:id="rId5"/>
    <sheet state="hidden" name="Instrucciones" sheetId="2" r:id="rId6"/>
    <sheet state="visible" name="Tasas de Cambio" sheetId="3" r:id="rId7"/>
    <sheet state="visible" name="Cotización" sheetId="4" r:id="rId8"/>
    <sheet state="hidden" name="Resumen" sheetId="5" r:id="rId9"/>
    <sheet state="visible" name="Crucero y Zurich" sheetId="6" r:id="rId10"/>
    <sheet state="hidden" name="Resumen CZ" sheetId="7" r:id="rId11"/>
    <sheet state="visible" name="Opción 4 (Múnich)" sheetId="8" r:id="rId12"/>
    <sheet state="hidden" name="Resumen Opción 4" sheetId="9" r:id="rId13"/>
    <sheet state="visible" name="Crucero" sheetId="10" r:id="rId14"/>
    <sheet state="visible" name="Crucero 2P" sheetId="12" r:id="rId16"/>
    <sheet state="hidden" name="Resumen Crucero" sheetId="11" r:id="rId15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<sst xmlns="http://schemas.openxmlformats.org/spreadsheetml/2006/main" count="1446" uniqueCount="412">
  <si>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</si>
  <si>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</si>
  <si>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</si>
  <si>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</si>
  <si>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</si>
  <si>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</si>
  <si>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</si>
  <si>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</si>
  <si>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</si>
  <si>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</si>
  <si>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</si>
  <si>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</si>
  <si>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</si>
  <si>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</si>
  <si>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</si>
  <si>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</si>
  <si>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</si>
  <si>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</si>
  <si>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</si>
  <si>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</si>
  <si>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</si>
  <si>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</si>
  <si>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</si>
  <si>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</si>
  <si>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</si>
  <si>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</si>
  <si>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</si>
  <si>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</si>
  <si>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</si>
  <si>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</si>
  <si>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</si>
  <si>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</si>
  <si>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</si>
  <si>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</si>
  <si>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</si>
  <si>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</si>
  <si>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</si>
  <si>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</si>
  <si>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</si>
  <si>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</si>
  <si>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</si>
  <si>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</si>
  <si>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</si>
  <si>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</si>
  <si>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</si>
  <si>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</si>
  <si>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</si>
  <si>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</si>
  <si>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</si>
  <si>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</si>
  <si>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</si>
  <si>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</si>
  <si>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</si>
  <si>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</si>
  <si>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</si>
  <si>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</si>
  <si>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</si>
  <si>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</si>
  <si>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</si>
  <si>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</si>
  <si>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</si>
  <si>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</si>
  <si>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</si>
  <si>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</si>
  <si>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</si>
  <si>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</si>
  <si>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</si>
  <si>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</si>
  <si>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</si>
  <si>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</si>
  <si>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</si>
  <si>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</si>
  <si>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</si>
  <si>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</si>
  <si>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</si>
  <si>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</si>
  <si>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</si>
  <si>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</si>
  <si>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</si>
  <si>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</si>
  <si>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</si>
  <si>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</si>
  <si>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</si>
  <si>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</si>
  <si>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</si>
  <si>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</si>
  <si>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</si>
  <si>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</si>
  <si>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</si>
  <si>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</si>
  <si>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</si>
  <si>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</si>
  <si>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</si>
  <si>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</si>
  <si>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</si>
  <si>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</si>
  <si>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</si>
  <si>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</si>
  <si>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</si>
  <si>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</si>
  <si>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</si>
  <si>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</si>
  <si>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</si>
  <si>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</si>
  <si>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</si>
  <si>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</si>
  <si>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</si>
  <si>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</si>
  <si>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</si>
  <si>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</si>
  <si>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</si>
  <si>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</si>
  <si>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</si>
  <si>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</si>
  <si>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</si>
  <si>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</si>
  <si>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CHF 600 total por las 3 noches (200/noche)</t>
  </si>
  <si>
    <t>—</t>
  </si>
  <si>
    <t>Contingencia</t>
  </si>
  <si>
    <t>Imprevistos / gastos varios (contingencia)</t>
  </si>
  <si>
    <t>Aplica solo al plan corto — revisar si alcanza para 30 días</t>
  </si>
  <si>
    <t>Durante el viaje</t>
  </si>
  <si>
    <t>SIM card de viaje (datos internacionales)</t>
  </si>
  <si>
    <t/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</si>
  <si>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</si>
  <si>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</si>
  <si>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</si>
  <si>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</si>
  <si>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</si>
  <si>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</si>
  <si>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</si>
  <si>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</si>
  <si>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</si>
  <si>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</si>
  <si>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</si>
  <si>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</si>
  <si>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</si>
  <si>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</si>
  <si>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</si>
  <si>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</si>
  <si>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</si>
  <si>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</si>
  <si>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</si>
  <si>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</si>
  <si>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</si>
  <si>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</si>
  <si>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</si>
  <si>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</si>
  <si>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</si>
  <si>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</si>
  <si>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</si>
  <si>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</si>
  <si>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</si>
  <si>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</si>
  <si>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</si>
  <si>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</si>
  <si>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</si>
  <si>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</si>
  <si>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</si>
  <si>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</si>
  <si>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</si>
  <si>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</si>
  <si>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</si>
  <si>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</si>
  <si>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</si>
  <si>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</si>
  <si>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</si>
  <si>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</si>
  <si>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</si>
  <si>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</si>
  <si>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</si>
  <si>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</si>
  <si>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</si>
  <si>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</si>
  <si>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</si>
  <si>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</si>
  <si>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</si>
  <si>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</si>
  <si>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</si>
  <si>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</si>
  <si>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</si>
  <si>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</si>
  <si>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</si>
  <si>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</si>
  <si>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</si>
  <si>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</si>
  <si>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</si>
  <si>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</si>
  <si>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</si>
  <si>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</si>
  <si>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</si>
  <si>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</si>
  <si>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</si>
  <si>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</si>
  <si>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</si>
  <si>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</si>
  <si>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</si>
  <si>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</si>
  <si>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</si>
  <si>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</si>
  <si>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</si>
  <si>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</si>
  <si>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</si>
  <si>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</si>
  <si>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</si>
  <si>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</si>
  <si>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</si>
  <si>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</si>
  <si>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</si>
  <si>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</si>
  <si>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</si>
  <si>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</si>
  <si>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</si>
  <si>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</si>
  <si>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</si>
  <si>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</si>
  <si>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</si>
  <si>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</si>
  <si>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</si>
  <si>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</si>
  <si>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</si>
  <si>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</si>
  <si>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</si>
  <si>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</si>
  <si>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</si>
  <si>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</si>
  <si>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</si>
  <si>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</si>
  <si>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</si>
  <si>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</si>
  <si>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</si>
  <si>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</si>
  <si>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</si>
  <si>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</si>
  <si>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</si>
  <si>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</si>
  <si>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</si>
  <si>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</si>
  <si>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</si>
  <si>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</si>
  <si>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</si>
  <si>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</si>
  <si>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</si>
  <si>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</si>
  <si>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</si>
  <si>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</si>
  <si>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</si>
  <si>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</si>
  <si>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</si>
  <si>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</si>
  <si>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</si>
  <si>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</si>
  <si>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</si>
  <si>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</si>
  <si>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</si>
  <si>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</si>
  <si>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</si>
  <si>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</si>
  <si>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</si>
  <si>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</si>
  <si>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</si>
  <si>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</si>
  <si>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</si>
  <si>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</si>
  <si>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</si>
  <si>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</si>
  <si>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</si>
  <si>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</si>
  <si>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</si>
  <si>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</si>
  <si>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</si>
  <si>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</si>
  <si>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</si>
  <si>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</si>
  <si>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</si>
  <si>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</si>
  <si>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</si>
  <si>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</si>
  <si>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</si>
  <si>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</si>
  <si>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</si>
  <si>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</si>
  <si>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</si>
  <si>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</si>
  <si>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</si>
  <si>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</si>
  <si>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</si>
  <si>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</si>
  <si>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</si>
  <si>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</si>
  <si>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</si>
  <si>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</si>
  <si>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</si>
  <si>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</si>
  <si>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</si>
  <si>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</si>
  <si>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</si>
  <si>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</si>
  <si>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</si>
  <si>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</si>
  <si>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</si>
  <si>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</si>
  <si>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</si>
  <si>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</si>
  <si>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</si>
  <si>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</si>
  <si>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</si>
  <si>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</si>
  <si>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</si>
  <si>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</si>
  <si>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</si>
  <si>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</si>
  <si>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</si>
  <si>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</si>
  <si>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</si>
  <si>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</si>
  <si>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</si>
  <si>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</si>
  <si>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</si>
  <si>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</si>
  <si>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</si>
  <si>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</si>
  <si>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</si>
  <si>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</si>
  <si>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</si>
  <si>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</si>
  <si>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</si>
  <si>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</si>
  <si>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</si>
  <si>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</si>
  <si>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</si>
  <si>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</si>
  <si>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</si>
  <si>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</si>
  <si>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</si>
  <si>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</si>
  <si>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</si>
  <si>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</si>
  <si>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</si>
  <si>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</si>
  <si>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</si>
  <si>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</si>
  <si>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</si>
  <si>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</si>
  <si>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</si>
  <si>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</si>
  <si>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</si>
  <si>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</si>
  <si>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</si>
  <si>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</si>
  <si>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</si>
  <si>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</si>
  <si>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</si>
  <si>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</si>
  <si>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</si>
  <si>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</si>
  <si>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</si>
  <si>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</si>
  <si>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</si>
  <si>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</si>
  <si>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</si>
  <si>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</si>
  <si>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</si>
  <si>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</si>
  <si>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</si>
  <si>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Light. https://shop.lufthansa.com/booking/cart?cartId=1EA66RSYEOGDFEB1&amp;type=cart&amp;shared=true&amp;origin=BOG&amp;utm_source=sharedcart&amp;utm_medium=referral&amp;consent=true</t>
  </si>
  <si>
    <t>Vuelo Lufthansa Venecia → Bogotá (vía FRA), regreso</t>
  </si>
  <si>
    <t>Lufthansa · VCE 10:55 → BOG 18:55 · 1 escala (FRA) · Duración 15h00m · Economy Light. https://shop.lufthansa.com/booking/cart?cartId=1EA66RSYEOGDFEB1&amp;type=cart&amp;shared=true&amp;origin=BOG&amp;utm_source=sharedcart&amp;utm_medium=referral&amp;consent=true</t>
  </si>
  <si>
    <t>5 de mayo al 16 de mayo de 2027 · 11 días</t>
  </si>
  <si>
    <t>29 May 2027</t>
  </si>
  <si>
    <t>SIM compartida entre las 3 personas para los 11 días del crucero. https://esim.holafly.com/es/esim-europa/?selectedDays=11&amp;startDate=2027-05-06&amp;endDate=2027-05-16</t>
  </si>
  <si>
    <t>SIM compartida entre las 3 personas para los 16 días del viaje. https://esim.holafly.com/es/esim-europa/?selectedDays=16&amp;startDate=2027-05-01&amp;endDate=2027-05-16</t>
  </si>
  <si>
    <t>SIM compartida entre las 3 personas para 17 días del viaje. https://esim.holafly.com/es/esim-europa/?selectedDays=17&amp;startDate=2027-04-30&amp;endDate=2027-05-16</t>
  </si>
  <si>
    <t>Fecha confirmación precio</t>
  </si>
  <si>
    <t>27 ago 2026</t>
  </si>
  <si>
    <t>Asistencia médica internacional, cobertura USD 60.000 (Cuponatic). https://www.cuponatic.com.co/descuento/asistencia-medica-internacional-cobertura-de-usd-60-000?m=tarjetas-de-asistencia&amp;id_descuento=212587</t>
  </si>
  <si>
    <t>Asistencia médica internacional</t>
  </si>
  <si>
    <t>Sagrada Familia, 2 noches (6-8 may), 3 personas.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</si>
  <si>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Hotel Barcelona — costo total (2 noches, 1 habitación)</t>
  </si>
  <si>
    <t>Hotel Barcelona — costo total (2 noches)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</si>
  <si>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</si>
  <si>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Tour Barcelona Modernista</t>
  </si>
  <si>
    <t>Tour guiado por el Modernismo catalán en Barcelona. https://www.civitatis.com/es/barcelona/tour-barcelona-modernista/</t>
  </si>
  <si>
    <t>Free tour Sagrada Familia</t>
  </si>
  <si>
    <t>Free tour guiado por el exterior de la Sagrada Familia. https://www.civitatis.com/es/barcelona/free-tour-sagrada-familia/</t>
  </si>
  <si>
    <t>Crucero Barcelona-Ravena, 7 noches, incluye propinas. https://www.royalcaribbean.com/lac/es/itinerary/7-night-italy-croatia-cruise-from-barcelona-on-brilliance-BR07M885?sailDate=2027-05-08&amp;packageCode=BR07M885&amp;groupId=BR07BCN-1768961711&amp;country=COL&amp;search=startDate:2027-05-01~2027-05-31</t>
  </si>
  <si>
    <t>Día de navegación</t>
  </si>
  <si>
    <t>Día de navegación, incluido en la tarifa del crucero. https://www.royalcaribbean.com/lac/es/itinerary/7-night-italy-croatia-cruise-from-barcelona-on-brilliance-BR07M885?sailDate=2027-05-08&amp;packageCode=BR07M885&amp;groupId=BR07BCN-1768961711&amp;country=COL&amp;search=startDate:2027-05-01~2027-05-31</t>
  </si>
  <si>
    <t>Comida incluida en el paquete del crucero, sin costo adicional</t>
  </si>
  <si>
    <t>46519.0</t>
  </si>
  <si>
    <t>46521.0</t>
  </si>
  <si>
    <t>Panoramic Pisa</t>
  </si>
  <si>
    <t>Visit to Rome - excursión de un día desde el crucero</t>
  </si>
  <si>
    <t>46517.0</t>
  </si>
  <si>
    <t>46518.0</t>
  </si>
  <si>
    <t>Visit to Rome</t>
  </si>
  <si>
    <t>Excursión panorámica por Pisa desde el crucero. https://www.royalcaribbean.com/account/cruise-planner/category/shorex/product/Y8RO?bookingId=3113096&amp;shipCode=BR&amp;sailDate=20270508</t>
  </si>
  <si>
    <t>Excursión a Roma desde el crucero. https://www.royalcaribbean.com/account/cruise-planner/category/shorex/product/CVS7?bookingId=3113096&amp;shipCode=BR&amp;sailDate=20270508</t>
  </si>
  <si>
    <t>Hotel Zúrich — costo total (5 noches)</t>
  </si>
  <si>
    <t>Hotel Venecia — costo total (1 noche)</t>
  </si>
  <si>
    <t>Free tour Venecia</t>
  </si>
  <si>
    <t>Free tour guiado por el centro histórico de Venecia. https://www.civitatis.com/es/venecia/free-tour-venecia/?_gl=1*1ijxuzi*_up*MQ..*_ga*ODU4MDQyNjAyLjE3ODc4Nzc2ODY.*_ga_QJQ54CTKPM*czE3ODc4Nzc2ODYkbzEkZzEkdDE3ODc4Nzc2OTEkajU1JGwwJGgxNTA2MDA0ODU0</t>
  </si>
  <si>
    <t>Vaporetti ACTV</t>
  </si>
  <si>
    <t>Boletos de vaporetto (transporte acuático) por Venecia. https://book.tickets-venice.com/es/book/8748/select/?_gl=1%2A1073ils%2A_gcl_aw%2AR0NMLjE3ODc4NzgwODMuRUFJYUlRb2JDaE1JaFpPNjdZekNsZ01Wd1lSYUJSM2Y1U1JPRUFBWUF5QUFFZ0tjeFBEX0J3RQ..%2A_gcl_au%2ANzIxMTA1MTQ5LjE3ODc4NzgwODMuLS4tLjE3ODc4NzgwODMuMTE2MDU2ODc1MS4xNzg3ODc4MDg0LjE3ODc4NzgwODM.%2A_ga%2ANDcyOTU3MzYyLjE3ODc4NzgwODM.%2A_ga_Y45PC9R73C%2AczE3ODc4NzgwODMkbzEkZzAkdDE3ODc4NzgwODQkajU5JGwwJGgw&amp;cookieBanner=false&amp;date=2027-05-15&amp;tourId=15560&amp;variantId=15560</t>
  </si>
  <si>
    <t>Traslado puerto → Estación Ravenna</t>
  </si>
  <si>
    <t>46522.0</t>
  </si>
  <si>
    <t>Tren Ravenna - Venecia St Lucia</t>
  </si>
  <si>
    <t>Tren regional desde Ravenna hasta Venecia Santa Lucia</t>
  </si>
  <si>
    <t>Tren regional desde Ravenna hasta Venecia Santa Lucia. https://www.trenitalia.com/en.html</t>
  </si>
  <si>
    <t>46513.0</t>
  </si>
  <si>
    <t>46514.0</t>
  </si>
  <si>
    <t>Pendiente cotizar para 2 personas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</si>
</sst>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6" Type="http://schemas.openxmlformats.org/officeDocument/2006/relationships/worksheet" Target="worksheets/shee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63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3572*$E$7</f>
        <v>3750.6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3860*$E$7</f>
        <v>4053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148.4*$E$7</f>
        <v>155.82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3065*$E$7</f>
        <v>3218.25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106</v>
      </c>
      <c r="C6" s="30" t="s">
        <v>107</v>
      </c>
      <c r="D6" s="32" t="s">
        <v>108</v>
      </c>
      <c r="E6" s="33" t="s">
        <v>55</v>
      </c>
      <c r="F6" s="34">
        <v>1886015.0</v>
      </c>
      <c r="G6" s="33">
        <v>3.0</v>
      </c>
      <c r="H6" s="51">
        <f t="shared" si="1"/>
        <v>5658045</v>
      </c>
      <c r="I6" s="51">
        <f t="array" ref="I6">IFERROR(INDEX('Tasas de Cambio'!$E$11:$E$15,MATCH(E6,'Tasas de Cambio'!$B$11:$B$15,0)),0)</f>
        <v>1</v>
      </c>
      <c r="J6" s="52">
        <f t="shared" si="2"/>
        <v>5658045</v>
      </c>
      <c r="K6" s="53">
        <f>IFERROR(J6/'Tasas de Cambio'!$C$5,0)</f>
        <v>1886015</v>
      </c>
      <c r="L6" s="54" t="s">
        <v>109</v>
      </c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4053</v>
      </c>
      <c r="J7" s="52">
        <f t="shared" si="2"/>
        <v>182385</v>
      </c>
      <c r="K7" s="53">
        <f>IFERROR(J7/'Tasas de Cambio'!$C$5,0)</f>
        <v>60795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115</v>
      </c>
      <c r="E8" s="33" t="s">
        <v>17</v>
      </c>
      <c r="F8" s="34">
        <v>200.0</v>
      </c>
      <c r="G8" s="33">
        <v>3.0</v>
      </c>
      <c r="H8" s="51">
        <f t="shared" si="1"/>
        <v>600</v>
      </c>
      <c r="I8" s="51">
        <f t="array" ref="I8">IFERROR(INDEX('Tasas de Cambio'!$E$11:$E$15,MATCH(E8,'Tasas de Cambio'!$B$11:$B$15,0)),0)</f>
        <v>4053</v>
      </c>
      <c r="J8" s="52">
        <f t="shared" si="2"/>
        <v>2431800</v>
      </c>
      <c r="K8" s="53">
        <f>IFERROR(J8/'Tasas de Cambio'!$C$5,0)</f>
        <v>810600</v>
      </c>
      <c r="L8" s="54" t="s">
        <v>116</v>
      </c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3750.6</v>
      </c>
      <c r="J9" s="52">
        <f t="shared" si="2"/>
        <v>2250360</v>
      </c>
      <c r="K9" s="53">
        <f>IFERROR(J9/'Tasas de Cambio'!$C$5,0)</f>
        <v>750120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3218.25</v>
      </c>
      <c r="J10" s="52">
        <f t="shared" si="2"/>
        <v>173785.5</v>
      </c>
      <c r="K10" s="53">
        <f>IFERROR(J10/'Tasas de Cambio'!$C$5,0)</f>
        <v>57928.5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126</v>
      </c>
      <c r="E11" s="33" t="s">
        <v>17</v>
      </c>
      <c r="F11" s="34">
        <v>55.0</v>
      </c>
      <c r="G11" s="33">
        <v>3.0</v>
      </c>
      <c r="H11" s="51">
        <f t="shared" si="1"/>
        <v>165</v>
      </c>
      <c r="I11" s="51">
        <f t="array" ref="I11">IFERROR(INDEX('Tasas de Cambio'!$E$11:$E$15,MATCH(E11,'Tasas de Cambio'!$B$11:$B$15,0)),0)</f>
        <v>4053</v>
      </c>
      <c r="J11" s="52">
        <f t="shared" si="2"/>
        <v>668745</v>
      </c>
      <c r="K11" s="53">
        <f>IFERROR(J11/'Tasas de Cambio'!$C$5,0)</f>
        <v>222915</v>
      </c>
      <c r="L11" s="54" t="s">
        <v>127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128</v>
      </c>
      <c r="E12" s="33" t="s">
        <v>97</v>
      </c>
      <c r="F12" s="34">
        <v>90.0</v>
      </c>
      <c r="G12" s="33">
        <v>3.0</v>
      </c>
      <c r="H12" s="51">
        <f t="shared" si="1"/>
        <v>270</v>
      </c>
      <c r="I12" s="51">
        <f t="array" ref="I12">IFERROR(INDEX('Tasas de Cambio'!$E$11:$E$15,MATCH(E12,'Tasas de Cambio'!$B$11:$B$15,0)),0)</f>
        <v>3218.25</v>
      </c>
      <c r="J12" s="52">
        <f t="shared" si="2"/>
        <v>868927.5</v>
      </c>
      <c r="K12" s="53">
        <f>IFERROR(J12/'Tasas de Cambio'!$C$5,0)</f>
        <v>289642.5</v>
      </c>
      <c r="L12" s="54" t="s">
        <v>129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350.0</v>
      </c>
      <c r="G13" s="33">
        <v>3.0</v>
      </c>
      <c r="H13" s="51">
        <f t="shared" si="1"/>
        <v>1050</v>
      </c>
      <c r="I13" s="51">
        <f t="array" ref="I13">IFERROR(INDEX('Tasas de Cambio'!$E$11:$E$15,MATCH(E13,'Tasas de Cambio'!$B$11:$B$15,0)),0)</f>
        <v>3218.25</v>
      </c>
      <c r="J13" s="52">
        <f t="shared" si="2"/>
        <v>3379162.5</v>
      </c>
      <c r="K13" s="53">
        <f>IFERROR(J13/'Tasas de Cambio'!$C$5,0)</f>
        <v>1126387.5</v>
      </c>
      <c r="L13" s="54" t="s">
        <v>132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126</v>
      </c>
      <c r="E14" s="33" t="s">
        <v>17</v>
      </c>
      <c r="F14" s="34">
        <v>55.0</v>
      </c>
      <c r="G14" s="33">
        <v>3.0</v>
      </c>
      <c r="H14" s="51">
        <f t="shared" si="1"/>
        <v>165</v>
      </c>
      <c r="I14" s="51">
        <f t="array" ref="I14">IFERROR(INDEX('Tasas de Cambio'!$E$11:$E$15,MATCH(E14,'Tasas de Cambio'!$B$11:$B$15,0)),0)</f>
        <v>4053</v>
      </c>
      <c r="J14" s="52">
        <f t="shared" si="2"/>
        <v>668745</v>
      </c>
      <c r="K14" s="53">
        <f>IFERROR(J14/'Tasas de Cambio'!$C$5,0)</f>
        <v>222915</v>
      </c>
      <c r="L14" s="54" t="s">
        <v>127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3750.6</v>
      </c>
      <c r="J15" s="52">
        <f t="shared" si="2"/>
        <v>843885</v>
      </c>
      <c r="K15" s="53">
        <f>IFERROR(J15/'Tasas de Cambio'!$C$5,0)</f>
        <v>281295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4053</v>
      </c>
      <c r="J16" s="52">
        <f t="shared" si="2"/>
        <v>60795</v>
      </c>
      <c r="K16" s="53">
        <f>IFERROR(J16/'Tasas de Cambio'!$C$5,0)</f>
        <v>20265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3750.6</v>
      </c>
      <c r="J17" s="52">
        <f t="shared" si="2"/>
        <v>67510.8</v>
      </c>
      <c r="K17" s="53">
        <f>IFERROR(J17/'Tasas de Cambio'!$C$5,0)</f>
        <v>22503.6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3750.6</v>
      </c>
      <c r="J18" s="52">
        <f t="shared" si="2"/>
        <v>1687770</v>
      </c>
      <c r="K18" s="53">
        <f>IFERROR(J18/'Tasas de Cambio'!$C$5,0)</f>
        <v>562590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126</v>
      </c>
      <c r="E19" s="33" t="s">
        <v>12</v>
      </c>
      <c r="F19" s="34">
        <v>50.0</v>
      </c>
      <c r="G19" s="33">
        <v>3.0</v>
      </c>
      <c r="H19" s="51">
        <f t="shared" si="1"/>
        <v>150</v>
      </c>
      <c r="I19" s="51">
        <f t="array" ref="I19">IFERROR(INDEX('Tasas de Cambio'!$E$11:$E$15,MATCH(E19,'Tasas de Cambio'!$B$11:$B$15,0)),0)</f>
        <v>3750.6</v>
      </c>
      <c r="J19" s="52">
        <f t="shared" si="2"/>
        <v>562590</v>
      </c>
      <c r="K19" s="53">
        <f>IFERROR(J19/'Tasas de Cambio'!$C$5,0)</f>
        <v>187530</v>
      </c>
      <c r="L19" s="54" t="s">
        <v>127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3750.6</v>
      </c>
      <c r="J20" s="52">
        <f t="shared" si="2"/>
        <v>1237698</v>
      </c>
      <c r="K20" s="53">
        <f>IFERROR(J20/'Tasas de Cambio'!$C$5,0)</f>
        <v>412566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126</v>
      </c>
      <c r="E21" s="33" t="s">
        <v>12</v>
      </c>
      <c r="F21" s="34">
        <v>50.0</v>
      </c>
      <c r="G21" s="33">
        <v>3.0</v>
      </c>
      <c r="H21" s="51">
        <f t="shared" si="1"/>
        <v>150</v>
      </c>
      <c r="I21" s="51">
        <f t="array" ref="I21">IFERROR(INDEX('Tasas de Cambio'!$E$11:$E$15,MATCH(E21,'Tasas de Cambio'!$B$11:$B$15,0)),0)</f>
        <v>3750.6</v>
      </c>
      <c r="J21" s="52">
        <f t="shared" si="2"/>
        <v>562590</v>
      </c>
      <c r="K21" s="53">
        <f>IFERROR(J21/'Tasas de Cambio'!$C$5,0)</f>
        <v>187530</v>
      </c>
      <c r="L21" s="54" t="s">
        <v>127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3750.6</v>
      </c>
      <c r="J22" s="52">
        <f t="shared" si="2"/>
        <v>213784.2</v>
      </c>
      <c r="K22" s="53">
        <f>IFERROR(J22/'Tasas de Cambio'!$C$5,0)</f>
        <v>71261.4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126</v>
      </c>
      <c r="E23" s="33" t="s">
        <v>12</v>
      </c>
      <c r="F23" s="34">
        <v>50.0</v>
      </c>
      <c r="G23" s="33">
        <v>3.0</v>
      </c>
      <c r="H23" s="51">
        <f t="shared" si="1"/>
        <v>150</v>
      </c>
      <c r="I23" s="51">
        <f t="array" ref="I23">IFERROR(INDEX('Tasas de Cambio'!$E$11:$E$15,MATCH(E23,'Tasas de Cambio'!$B$11:$B$15,0)),0)</f>
        <v>3750.6</v>
      </c>
      <c r="J23" s="52">
        <f t="shared" si="2"/>
        <v>562590</v>
      </c>
      <c r="K23" s="53">
        <f>IFERROR(J23/'Tasas de Cambio'!$C$5,0)</f>
        <v>187530</v>
      </c>
      <c r="L23" s="54" t="s">
        <v>127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3750.6</v>
      </c>
      <c r="J24" s="52">
        <f t="shared" si="2"/>
        <v>1462734</v>
      </c>
      <c r="K24" s="53">
        <f>IFERROR(J24/'Tasas de Cambio'!$C$5,0)</f>
        <v>487578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3750.6</v>
      </c>
      <c r="J25" s="52">
        <f t="shared" si="2"/>
        <v>187530</v>
      </c>
      <c r="K25" s="53">
        <f>IFERROR(J25/'Tasas de Cambio'!$C$5,0)</f>
        <v>62510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3750.6</v>
      </c>
      <c r="J26" s="52">
        <f t="shared" si="2"/>
        <v>150024</v>
      </c>
      <c r="K26" s="53">
        <f>IFERROR(J26/'Tasas de Cambio'!$C$5,0)</f>
        <v>50008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3750.6</v>
      </c>
      <c r="J28" s="52">
        <f t="shared" si="2"/>
        <v>168777</v>
      </c>
      <c r="K28" s="53">
        <f>IFERROR(J28/'Tasas de Cambio'!$C$5,0)</f>
        <v>56259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3750.6</v>
      </c>
      <c r="J29" s="52">
        <f t="shared" si="2"/>
        <v>135021.6</v>
      </c>
      <c r="K29" s="53">
        <f>IFERROR(J29/'Tasas de Cambio'!$C$5,0)</f>
        <v>45007.2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3218.25</v>
      </c>
      <c r="J30" s="52">
        <f>IFERROR(H30*I30,0)</f>
        <v>96547.5</v>
      </c>
      <c r="K30" s="53">
        <f>IFERROR(J30/'Tasas de Cambio'!$C$5,0)</f>
        <v>32182.5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3750.6</v>
      </c>
      <c r="J31" s="52">
        <f t="shared" si="2"/>
        <v>337554</v>
      </c>
      <c r="K31" s="53">
        <f>IFERROR(J31/'Tasas de Cambio'!$C$5,0)</f>
        <v>112518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3750.6</v>
      </c>
      <c r="J32" s="52">
        <f t="shared" si="2"/>
        <v>112518</v>
      </c>
      <c r="K32" s="53">
        <f>IFERROR(J32/'Tasas de Cambio'!$C$5,0)</f>
        <v>37506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3218.25</v>
      </c>
      <c r="J33" s="52">
        <f>IFERROR(H33*I33,0)</f>
        <v>6468682.5</v>
      </c>
      <c r="K33" s="53">
        <f>IFERROR(J33/'Tasas de Cambio'!$C$5,0)</f>
        <v>2156227.5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3750.6</v>
      </c>
      <c r="J34" s="52">
        <f t="shared" si="2"/>
        <v>0</v>
      </c>
      <c r="K34" s="53">
        <f>IFERROR(J34/'Tasas de Cambio'!$C$5,0)</f>
        <v>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3750.6</v>
      </c>
      <c r="J35" s="52">
        <f t="shared" si="2"/>
        <v>112518</v>
      </c>
      <c r="K35" s="53">
        <f>IFERROR(J35/'Tasas de Cambio'!$C$5,0)</f>
        <v>37506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3750.6</v>
      </c>
      <c r="J36" s="52">
        <f>IFERROR(H36*I36,0)</f>
        <v>281295.0</v>
      </c>
      <c r="K36" s="53">
        <f>IFERROR(J36/'Tasas de Cambio'!$C$5,0)</f>
        <v>93765.0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3218.25</v>
      </c>
      <c r="J37" s="52">
        <f>IFERROR(H37*I37,0)</f>
        <v>675832.5</v>
      </c>
      <c r="K37" s="53">
        <f>IFERROR(J37/'Tasas de Cambio'!$C$5,0)</f>
        <v>225277.5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3750.6</v>
      </c>
      <c r="J38" s="52">
        <f t="shared" si="2"/>
        <v>281295</v>
      </c>
      <c r="K38" s="53">
        <f>IFERROR(J38/'Tasas de Cambio'!$C$5,0)</f>
        <v>93765</v>
      </c>
      <c r="L38" s="54" t="s">
        <v>123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3218.25</v>
      </c>
      <c r="J39" s="52">
        <f>IFERROR(H39*I39,0)</f>
        <v>1158570.0</v>
      </c>
      <c r="K39" s="53">
        <f>IFERROR(J39/'Tasas de Cambio'!$C$5,0)</f>
        <v>386190.0</v>
      </c>
      <c r="L39" s="54" t="s">
        <v>397</v>
      </c>
      <c r="M39" s="1" t="s">
        <v>374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3750.6</v>
      </c>
      <c r="J40" s="52">
        <f t="shared" si="2"/>
        <v>281295</v>
      </c>
      <c r="K40" s="53">
        <f>IFERROR(J40/'Tasas de Cambio'!$C$5,0)</f>
        <v>93765</v>
      </c>
      <c r="L40" s="54" t="s">
        <v>123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3750.6</v>
      </c>
      <c r="J41" s="52">
        <f t="shared" si="2"/>
        <v>0</v>
      </c>
      <c r="K41" s="53">
        <f>IFERROR(J41/'Tasas de Cambio'!$C$5,0)</f>
        <v>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3750.6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3750.6</v>
      </c>
      <c r="J43" s="52">
        <f>IFERROR(H43*I43,0)</f>
        <v>281295.0</v>
      </c>
      <c r="K43" s="53">
        <f>IFERROR(J43/'Tasas de Cambio'!$C$5,0)</f>
        <v>93765.0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3750.6</v>
      </c>
      <c r="J44" s="52">
        <f>IFERROR(H44*I44,0)</f>
        <v>112518.0</v>
      </c>
      <c r="K44" s="53">
        <f>IFERROR(J44/'Tasas de Cambio'!$C$5,0)</f>
        <v>37506.0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3750.6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3750.6</v>
      </c>
      <c r="J46" s="52">
        <f>IFERROR(H46*I46,0)</f>
        <v>135021.6</v>
      </c>
      <c r="K46" s="53">
        <f>IFERROR(J46/'Tasas de Cambio'!$C$5,0)</f>
        <v>45007.200000000004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3750.6</v>
      </c>
      <c r="J47" s="52">
        <f>IFERROR(H47*I47,0)</f>
        <v>1500240.0</v>
      </c>
      <c r="K47" s="53">
        <f>IFERROR(J47/'Tasas de Cambio'!$C$5,0)</f>
        <v>500080.0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3750.6</v>
      </c>
      <c r="J48" s="52">
        <f t="shared" si="2"/>
        <v>337554</v>
      </c>
      <c r="K48" s="53">
        <f>IFERROR(J48/'Tasas de Cambio'!$C$5,0)</f>
        <v>112518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3750.6</v>
      </c>
      <c r="J49" s="52">
        <f t="shared" si="2"/>
        <v>675108</v>
      </c>
      <c r="K49" s="53">
        <f>IFERROR(J49/'Tasas de Cambio'!$C$5,0)</f>
        <v>225036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3750.6</v>
      </c>
      <c r="J50" s="52">
        <f t="shared" si="2"/>
        <v>75012</v>
      </c>
      <c r="K50" s="53">
        <f>IFERROR(J50/'Tasas de Cambio'!$C$5,0)</f>
        <v>25004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3750.6</v>
      </c>
      <c r="J51" s="52">
        <f t="shared" si="2"/>
        <v>67510.8</v>
      </c>
      <c r="K51" s="53">
        <f>IFERROR(J51/'Tasas de Cambio'!$C$5,0)</f>
        <v>22503.6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3750.6</v>
      </c>
      <c r="J52" s="52">
        <f t="shared" si="2"/>
        <v>731367</v>
      </c>
      <c r="K52" s="53">
        <f>IFERROR(J52/'Tasas de Cambio'!$C$5,0)</f>
        <v>243789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3750.6</v>
      </c>
      <c r="J53" s="52">
        <f>IFERROR(H53*I53,0)</f>
        <v>112518.0</v>
      </c>
      <c r="K53" s="53">
        <f>IFERROR(J53/'Tasas de Cambio'!$C$5,0)</f>
        <v>37506.0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230</v>
      </c>
      <c r="E54" s="33" t="s">
        <v>12</v>
      </c>
      <c r="F54" s="34">
        <v>25.0</v>
      </c>
      <c r="G54" s="33">
        <v>3.0</v>
      </c>
      <c r="H54" s="51">
        <f t="shared" si="1"/>
        <v>75</v>
      </c>
      <c r="I54" s="51">
        <f t="array" ref="I54">IFERROR(INDEX('Tasas de Cambio'!$E$11:$E$15,MATCH(E54,'Tasas de Cambio'!$B$11:$B$15,0)),0)</f>
        <v>3750.6</v>
      </c>
      <c r="J54" s="52">
        <f t="shared" si="2"/>
        <v>281295</v>
      </c>
      <c r="K54" s="53">
        <f>IFERROR(J54/'Tasas de Cambio'!$C$5,0)</f>
        <v>93765</v>
      </c>
      <c r="L54" s="54" t="s">
        <v>123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3750.6</v>
      </c>
      <c r="J55" s="52">
        <f t="shared" si="2"/>
        <v>675108</v>
      </c>
      <c r="K55" s="53">
        <f>IFERROR(J55/'Tasas de Cambio'!$C$5,0)</f>
        <v>225036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235</v>
      </c>
      <c r="D56" s="32" t="s">
        <v>126</v>
      </c>
      <c r="E56" s="33" t="s">
        <v>12</v>
      </c>
      <c r="F56" s="34">
        <v>45.0</v>
      </c>
      <c r="G56" s="33">
        <v>6.0</v>
      </c>
      <c r="H56" s="51">
        <f t="shared" si="1"/>
        <v>270</v>
      </c>
      <c r="I56" s="51">
        <f t="array" ref="I56">IFERROR(INDEX('Tasas de Cambio'!$E$11:$E$15,MATCH(E56,'Tasas de Cambio'!$B$11:$B$15,0)),0)</f>
        <v>3750.6</v>
      </c>
      <c r="J56" s="52">
        <f t="shared" si="2"/>
        <v>1012662</v>
      </c>
      <c r="K56" s="53">
        <f>IFERROR(J56/'Tasas de Cambio'!$C$5,0)</f>
        <v>337554</v>
      </c>
      <c r="L56" s="54" t="s">
        <v>127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3750.6</v>
      </c>
      <c r="J57" s="52">
        <f t="shared" si="2"/>
        <v>731367</v>
      </c>
      <c r="K57" s="53">
        <f>IFERROR(J57/'Tasas de Cambio'!$C$5,0)</f>
        <v>243789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3750.6</v>
      </c>
      <c r="J58" s="52">
        <f t="shared" si="2"/>
        <v>900144</v>
      </c>
      <c r="K58" s="53">
        <f>IFERROR(J58/'Tasas de Cambio'!$C$5,0)</f>
        <v>300048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3750.6</v>
      </c>
      <c r="J59" s="52">
        <f t="shared" si="2"/>
        <v>206283</v>
      </c>
      <c r="K59" s="53">
        <f>IFERROR(J59/'Tasas de Cambio'!$C$5,0)</f>
        <v>68761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3750.6</v>
      </c>
      <c r="J60" s="52">
        <f t="shared" si="2"/>
        <v>105016.8</v>
      </c>
      <c r="K60" s="53">
        <f>IFERROR(J60/'Tasas de Cambio'!$C$5,0)</f>
        <v>35005.6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155.82</v>
      </c>
      <c r="J61" s="52">
        <f t="shared" si="2"/>
        <v>934920</v>
      </c>
      <c r="K61" s="53">
        <f>IFERROR(J61/'Tasas de Cambio'!$C$5,0)</f>
        <v>311640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155.82</v>
      </c>
      <c r="J62" s="52">
        <f t="shared" si="2"/>
        <v>537579</v>
      </c>
      <c r="K62" s="53">
        <f>IFERROR(J62/'Tasas de Cambio'!$C$5,0)</f>
        <v>179193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256</v>
      </c>
      <c r="D63" s="32" t="s">
        <v>126</v>
      </c>
      <c r="E63" s="33" t="s">
        <v>37</v>
      </c>
      <c r="F63" s="34">
        <v>550.0</v>
      </c>
      <c r="G63" s="33">
        <v>6.0</v>
      </c>
      <c r="H63" s="51">
        <f t="shared" si="1"/>
        <v>3300</v>
      </c>
      <c r="I63" s="51">
        <f t="array" ref="I63">IFERROR(INDEX('Tasas de Cambio'!$E$11:$E$15,MATCH(E63,'Tasas de Cambio'!$B$11:$B$15,0)),0)</f>
        <v>155.82</v>
      </c>
      <c r="J63" s="52">
        <f t="shared" si="2"/>
        <v>514206</v>
      </c>
      <c r="K63" s="53">
        <f>IFERROR(J63/'Tasas de Cambio'!$C$5,0)</f>
        <v>171402</v>
      </c>
      <c r="L63" s="54" t="s">
        <v>127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155.82</v>
      </c>
      <c r="J64" s="52">
        <f t="shared" si="2"/>
        <v>233730</v>
      </c>
      <c r="K64" s="53">
        <f>IFERROR(J64/'Tasas de Cambio'!$C$5,0)</f>
        <v>77910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3750.6</v>
      </c>
      <c r="J65" s="52">
        <f t="shared" si="2"/>
        <v>450072</v>
      </c>
      <c r="K65" s="53">
        <f>IFERROR(J65/'Tasas de Cambio'!$C$5,0)</f>
        <v>150024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3750.6</v>
      </c>
      <c r="J66" s="52">
        <f t="shared" si="2"/>
        <v>67510.8</v>
      </c>
      <c r="K66" s="53">
        <f>IFERROR(J66/'Tasas de Cambio'!$C$5,0)</f>
        <v>22503.6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3750.6</v>
      </c>
      <c r="J67" s="52">
        <f t="shared" si="2"/>
        <v>1068921</v>
      </c>
      <c r="K67" s="53">
        <f>IFERROR(J67/'Tasas de Cambio'!$C$5,0)</f>
        <v>356307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3218.25</v>
      </c>
      <c r="J68" s="52">
        <f t="shared" si="2"/>
        <v>289642.5</v>
      </c>
      <c r="K68" s="53">
        <f>IFERROR(J68/'Tasas de Cambio'!$C$5,0)</f>
        <v>96547.5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275</v>
      </c>
      <c r="D69" s="32" t="s">
        <v>126</v>
      </c>
      <c r="E69" s="33" t="s">
        <v>12</v>
      </c>
      <c r="F69" s="34">
        <v>30.0</v>
      </c>
      <c r="G69" s="33">
        <v>6.0</v>
      </c>
      <c r="H69" s="51">
        <f t="shared" si="1"/>
        <v>180</v>
      </c>
      <c r="I69" s="51">
        <f t="array" ref="I69">IFERROR(INDEX('Tasas de Cambio'!$E$11:$E$15,MATCH(E69,'Tasas de Cambio'!$B$11:$B$15,0)),0)</f>
        <v>3750.6</v>
      </c>
      <c r="J69" s="52">
        <f t="shared" si="2"/>
        <v>675108</v>
      </c>
      <c r="K69" s="53">
        <f>IFERROR(J69/'Tasas de Cambio'!$C$5,0)</f>
        <v>225036</v>
      </c>
      <c r="L69" s="54" t="s">
        <v>127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3750.6</v>
      </c>
      <c r="J70" s="52">
        <f t="shared" si="2"/>
        <v>337554</v>
      </c>
      <c r="K70" s="53">
        <f>IFERROR(J70/'Tasas de Cambio'!$C$5,0)</f>
        <v>112518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3750.6</v>
      </c>
      <c r="J71" s="52">
        <f t="shared" si="2"/>
        <v>618849</v>
      </c>
      <c r="K71" s="53">
        <f>IFERROR(J71/'Tasas de Cambio'!$C$5,0)</f>
        <v>206283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3750.6</v>
      </c>
      <c r="J72" s="52">
        <f t="shared" si="2"/>
        <v>37506</v>
      </c>
      <c r="K72" s="53">
        <f>IFERROR(J72/'Tasas de Cambio'!$C$5,0)</f>
        <v>12502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286</v>
      </c>
      <c r="D73" s="32" t="s">
        <v>287</v>
      </c>
      <c r="E73" s="33" t="s">
        <v>12</v>
      </c>
      <c r="F73" s="34">
        <v>130.0</v>
      </c>
      <c r="G73" s="33">
        <v>5.0</v>
      </c>
      <c r="H73" s="51">
        <f t="shared" si="1"/>
        <v>650</v>
      </c>
      <c r="I73" s="51">
        <f t="array" ref="I73">IFERROR(INDEX('Tasas de Cambio'!$E$11:$E$15,MATCH(E73,'Tasas de Cambio'!$B$11:$B$15,0)),0)</f>
        <v>3750.6</v>
      </c>
      <c r="J73" s="52">
        <f t="shared" si="2"/>
        <v>2437890</v>
      </c>
      <c r="K73" s="53">
        <f>IFERROR(J73/'Tasas de Cambio'!$C$5,0)</f>
        <v>812630</v>
      </c>
      <c r="L73" s="54" t="s">
        <v>288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4.0" customHeight="1">
      <c r="A74" s="29" t="s">
        <v>57</v>
      </c>
      <c r="B74" s="29" t="s">
        <v>270</v>
      </c>
      <c r="C74" s="30" t="s">
        <v>289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 t="shared" si="1"/>
        <v>69</v>
      </c>
      <c r="I74" s="51">
        <f t="array" ref="I74">IFERROR(INDEX('Tasas de Cambio'!$E$11:$E$15,MATCH(E74,'Tasas de Cambio'!$B$11:$B$15,0)),0)</f>
        <v>3218.25</v>
      </c>
      <c r="J74" s="52">
        <f t="shared" si="2"/>
        <v>222059.25</v>
      </c>
      <c r="K74" s="53">
        <f>IFERROR(J74/'Tasas de Cambio'!$C$5,0)</f>
        <v>74019.75</v>
      </c>
      <c r="L74" s="54" t="s">
        <v>291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9" t="s">
        <v>59</v>
      </c>
      <c r="B75" s="29" t="s">
        <v>292</v>
      </c>
      <c r="C75" s="30" t="s">
        <v>293</v>
      </c>
      <c r="D75" s="32" t="s">
        <v>126</v>
      </c>
      <c r="E75" s="33" t="s">
        <v>12</v>
      </c>
      <c r="F75" s="34">
        <v>40.0</v>
      </c>
      <c r="G75" s="33">
        <v>9.0</v>
      </c>
      <c r="H75" s="51">
        <f t="shared" si="1"/>
        <v>360</v>
      </c>
      <c r="I75" s="51">
        <f t="array" ref="I75">IFERROR(INDEX('Tasas de Cambio'!$E$11:$E$15,MATCH(E75,'Tasas de Cambio'!$B$11:$B$15,0)),0)</f>
        <v>3750.6</v>
      </c>
      <c r="J75" s="52">
        <f t="shared" si="2"/>
        <v>1350216</v>
      </c>
      <c r="K75" s="53">
        <f>IFERROR(J75/'Tasas de Cambio'!$C$5,0)</f>
        <v>450072</v>
      </c>
      <c r="L75" s="54" t="s">
        <v>127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9" t="s">
        <v>57</v>
      </c>
      <c r="B76" s="29" t="s">
        <v>270</v>
      </c>
      <c r="C76" s="30" t="s">
        <v>295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 t="shared" si="1"/>
        <v>240</v>
      </c>
      <c r="I76" s="51">
        <f t="array" ref="I76">IFERROR(INDEX('Tasas de Cambio'!$E$11:$E$15,MATCH(E76,'Tasas de Cambio'!$B$11:$B$15,0)),0)</f>
        <v>3750.6</v>
      </c>
      <c r="J76" s="52">
        <f t="shared" si="2"/>
        <v>900144</v>
      </c>
      <c r="K76" s="53">
        <f>IFERROR(J76/'Tasas de Cambio'!$C$5,0)</f>
        <v>300048</v>
      </c>
      <c r="L76" s="54" t="s">
        <v>301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9" t="s">
        <v>57</v>
      </c>
      <c r="B77" s="29" t="s">
        <v>270</v>
      </c>
      <c r="C77" s="30" t="s">
        <v>302</v>
      </c>
      <c r="D77" s="32" t="s">
        <v>303</v>
      </c>
      <c r="E77" s="33" t="s">
        <v>12</v>
      </c>
      <c r="F77" s="34">
        <v>25.0</v>
      </c>
      <c r="G77" s="33">
        <v>3.0</v>
      </c>
      <c r="H77" s="51">
        <f t="shared" si="1"/>
        <v>75</v>
      </c>
      <c r="I77" s="51">
        <f t="array" ref="I77">IFERROR(INDEX('Tasas de Cambio'!$E$11:$E$15,MATCH(E77,'Tasas de Cambio'!$B$11:$B$15,0)),0)</f>
        <v>3750.6</v>
      </c>
      <c r="J77" s="52">
        <f t="shared" si="2"/>
        <v>281295</v>
      </c>
      <c r="K77" s="53">
        <f>IFERROR(J77/'Tasas de Cambio'!$C$5,0)</f>
        <v>93765</v>
      </c>
      <c r="L77" s="54" t="s">
        <v>304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9" t="s">
        <v>11</v>
      </c>
      <c r="B78" s="29" t="s">
        <v>305</v>
      </c>
      <c r="C78" s="30" t="s">
        <v>369</v>
      </c>
      <c r="D78" s="32" t="s">
        <v>307</v>
      </c>
      <c r="E78" s="33" t="s">
        <v>55</v>
      </c>
      <c r="F78" s="34">
        <v>1886015.0</v>
      </c>
      <c r="G78" s="33">
        <v>3.0</v>
      </c>
      <c r="H78" s="51">
        <f t="shared" si="1"/>
        <v>5658045</v>
      </c>
      <c r="I78" s="51">
        <f t="array" ref="I78">IFERROR(INDEX('Tasas de Cambio'!$E$11:$E$15,MATCH(E78,'Tasas de Cambio'!$B$11:$B$15,0)),0)</f>
        <v>1</v>
      </c>
      <c r="J78" s="52">
        <f t="shared" si="2"/>
        <v>5658045</v>
      </c>
      <c r="K78" s="53">
        <f>IFERROR(J78/'Tasas de Cambio'!$C$5,0)</f>
        <v>1886015</v>
      </c>
      <c r="L78" s="54" t="s">
        <v>308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29" t="s">
        <v>14</v>
      </c>
      <c r="B79" s="29" t="s">
        <v>270</v>
      </c>
      <c r="C79" s="30" t="s">
        <v>369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 t="shared" si="1"/>
        <v>75</v>
      </c>
      <c r="I79" s="51">
        <f t="array" ref="I79">IFERROR(INDEX('Tasas de Cambio'!$E$11:$E$15,MATCH(E79,'Tasas de Cambio'!$B$11:$B$15,0)),0)</f>
        <v>3750.6</v>
      </c>
      <c r="J79" s="52">
        <f t="shared" si="2"/>
        <v>281295</v>
      </c>
      <c r="K79" s="53">
        <f>IFERROR(J79/'Tasas de Cambio'!$C$5,0)</f>
        <v>93765</v>
      </c>
      <c r="L79" s="54" t="s">
        <v>310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3218.25</v>
      </c>
      <c r="J80" s="52">
        <f>IFERROR(H80*I80,0)</f>
        <v>96547.5</v>
      </c>
      <c r="K80" s="53">
        <f>IFERROR(J80/'Tasas de Cambio'!$C$5,0)</f>
        <v>32182.5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3218.25</v>
      </c>
      <c r="J5" s="52">
        <f>IFERROR(H5*I5,0)</f>
        <v>96547.5</v>
      </c>
      <c r="K5" s="53">
        <f>IFERROR(J5/'Tasas de Cambio'!$C$5,0)</f>
        <v>32182.5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3218.25</v>
      </c>
      <c r="J6" s="52">
        <f>IFERROR(H6*I6,0)</f>
        <v>96547.5</v>
      </c>
      <c r="K6" s="53">
        <f>IFERROR(J6/'Tasas de Cambio'!$C$5,0)</f>
        <v>32182.5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3750.6</v>
      </c>
      <c r="J9" s="52">
        <f>IFERROR(H9*I9,0)</f>
        <v>281295.0</v>
      </c>
      <c r="K9" s="53">
        <f>IFERROR(J9/'Tasas de Cambio'!$C$5,0)</f>
        <v>93765.0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3218.25</v>
      </c>
      <c r="J10" s="52">
        <f t="shared" si="2"/>
        <v>167349</v>
      </c>
      <c r="K10" s="53">
        <f>IFERROR(J10/'Tasas de Cambio'!$C$5,0)</f>
        <v>55783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3750.6</v>
      </c>
      <c r="J11" s="52">
        <f t="shared" si="2"/>
        <v>2250360</v>
      </c>
      <c r="K11" s="53">
        <f>IFERROR(J11/'Tasas de Cambio'!$C$5,0)</f>
        <v>750120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4053</v>
      </c>
      <c r="J13" s="52">
        <f t="shared" si="2"/>
        <v>182385</v>
      </c>
      <c r="K13" s="53">
        <f>IFERROR(J13/'Tasas de Cambio'!$C$5,0)</f>
        <v>60795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398</v>
      </c>
      <c r="E14" s="33" t="s">
        <v>17</v>
      </c>
      <c r="F14" s="34">
        <v>900.0</v>
      </c>
      <c r="G14" s="33">
        <v>1.0</v>
      </c>
      <c r="H14" s="51">
        <f>IFERROR(F14*G14,0)</f>
        <v>900.0</v>
      </c>
      <c r="I14" s="51">
        <f t="array" ref="I14">IFERROR(INDEX('Tasas de Cambio'!$E$11:$E$15,MATCH(E14,'Tasas de Cambio'!$B$11:$B$15,0)),0)</f>
        <v>4053.0</v>
      </c>
      <c r="J14" s="52">
        <f>IFERROR(H14*I14,0)</f>
        <v>3647700.0</v>
      </c>
      <c r="K14" s="53">
        <f>IFERROR(J14/'Tasas de Cambio'!$C$5,0)</f>
        <v>1215900.0</v>
      </c>
      <c r="L14" s="54" t="s">
        <v>123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3218.25</v>
      </c>
      <c r="J16" s="52">
        <f t="shared" si="2"/>
        <v>868927.5</v>
      </c>
      <c r="K16" s="53">
        <f>IFERROR(J16/'Tasas de Cambio'!$C$5,0)</f>
        <v>289642.5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>
        <v>46509.0</v>
      </c>
      <c r="D17" s="32" t="s">
        <v>131</v>
      </c>
      <c r="E17" s="33" t="s">
        <v>97</v>
      </c>
      <c r="F17" s="34">
        <v>350.0</v>
      </c>
      <c r="G17" s="33">
        <v>3.0</v>
      </c>
      <c r="H17" s="51">
        <f t="shared" si="1"/>
        <v>1050</v>
      </c>
      <c r="I17" s="51">
        <f t="array" ref="I17">IFERROR(INDEX('Tasas de Cambio'!$E$11:$E$15,MATCH(E17,'Tasas de Cambio'!$B$11:$B$15,0)),0)</f>
        <v>3218.25</v>
      </c>
      <c r="J17" s="52">
        <f t="shared" si="2"/>
        <v>3379162.5</v>
      </c>
      <c r="K17" s="53">
        <f>IFERROR(J17/'Tasas de Cambio'!$C$5,0)</f>
        <v>1126387.5</v>
      </c>
      <c r="L17" s="54" t="s">
        <v>132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124</v>
      </c>
      <c r="C18" s="30">
        <v>46509.0</v>
      </c>
      <c r="D18" s="32" t="s">
        <v>126</v>
      </c>
      <c r="E18" s="33" t="s">
        <v>17</v>
      </c>
      <c r="F18" s="34">
        <v>55.0</v>
      </c>
      <c r="G18" s="33">
        <v>3.0</v>
      </c>
      <c r="H18" s="51">
        <f t="shared" si="1"/>
        <v>165</v>
      </c>
      <c r="I18" s="51">
        <f t="array" ref="I18">IFERROR(INDEX('Tasas de Cambio'!$E$11:$E$15,MATCH(E18,'Tasas de Cambio'!$B$11:$B$15,0)),0)</f>
        <v>4053</v>
      </c>
      <c r="J18" s="52">
        <f t="shared" si="2"/>
        <v>668745</v>
      </c>
      <c r="K18" s="53">
        <f>IFERROR(J18/'Tasas de Cambio'!$C$5,0)</f>
        <v>222915</v>
      </c>
      <c r="L18" s="54" t="s">
        <v>311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3218.25</v>
      </c>
      <c r="J19" s="52">
        <f t="shared" si="2"/>
        <v>1448212.5</v>
      </c>
      <c r="K19" s="53">
        <f>IFERROR(J19/'Tasas de Cambio'!$C$5,0)</f>
        <v>482737.5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>
        <v>46510.0</v>
      </c>
      <c r="D20" s="32" t="s">
        <v>126</v>
      </c>
      <c r="E20" s="33" t="s">
        <v>17</v>
      </c>
      <c r="F20" s="34">
        <v>55.0</v>
      </c>
      <c r="G20" s="33">
        <v>3.0</v>
      </c>
      <c r="H20" s="51">
        <f t="shared" si="1"/>
        <v>165</v>
      </c>
      <c r="I20" s="51">
        <f t="array" ref="I20">IFERROR(INDEX('Tasas de Cambio'!$E$11:$E$15,MATCH(E20,'Tasas de Cambio'!$B$11:$B$15,0)),0)</f>
        <v>4053</v>
      </c>
      <c r="J20" s="52">
        <f t="shared" si="2"/>
        <v>668745</v>
      </c>
      <c r="K20" s="53">
        <f>IFERROR(J20/'Tasas de Cambio'!$C$5,0)</f>
        <v>222915</v>
      </c>
      <c r="L20" s="54" t="s">
        <v>311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3218.25</v>
      </c>
      <c r="J21" s="52">
        <f t="shared" si="2"/>
        <v>1332355.5</v>
      </c>
      <c r="K21" s="53">
        <f>IFERROR(J21/'Tasas de Cambio'!$C$5,0)</f>
        <v>444118.5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>
        <v>46511.0</v>
      </c>
      <c r="D22" s="32" t="s">
        <v>126</v>
      </c>
      <c r="E22" s="33" t="s">
        <v>17</v>
      </c>
      <c r="F22" s="34">
        <v>55.0</v>
      </c>
      <c r="G22" s="33">
        <v>3.0</v>
      </c>
      <c r="H22" s="51">
        <f t="shared" si="1"/>
        <v>165</v>
      </c>
      <c r="I22" s="51">
        <f t="array" ref="I22">IFERROR(INDEX('Tasas de Cambio'!$E$11:$E$15,MATCH(E22,'Tasas de Cambio'!$B$11:$B$15,0)),0)</f>
        <v>4053</v>
      </c>
      <c r="J22" s="52">
        <f t="shared" si="2"/>
        <v>668745</v>
      </c>
      <c r="K22" s="53">
        <f>IFERROR(J22/'Tasas de Cambio'!$C$5,0)</f>
        <v>222915</v>
      </c>
      <c r="L22" s="54" t="s">
        <v>311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3218.25</v>
      </c>
      <c r="J23" s="52">
        <f t="shared" si="2"/>
        <v>675832.5</v>
      </c>
      <c r="K23" s="53">
        <f>IFERROR(J23/'Tasas de Cambio'!$C$5,0)</f>
        <v>225277.5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>
        <v>46512.0</v>
      </c>
      <c r="D24" s="32" t="s">
        <v>126</v>
      </c>
      <c r="E24" s="33" t="s">
        <v>17</v>
      </c>
      <c r="F24" s="34">
        <v>55.0</v>
      </c>
      <c r="G24" s="33">
        <v>3.0</v>
      </c>
      <c r="H24" s="51">
        <f t="shared" si="1"/>
        <v>165</v>
      </c>
      <c r="I24" s="51">
        <f t="array" ref="I24">IFERROR(INDEX('Tasas de Cambio'!$E$11:$E$15,MATCH(E24,'Tasas de Cambio'!$B$11:$B$15,0)),0)</f>
        <v>4053</v>
      </c>
      <c r="J24" s="52">
        <f t="shared" si="2"/>
        <v>668745</v>
      </c>
      <c r="K24" s="53">
        <f>IFERROR(J24/'Tasas de Cambio'!$C$5,0)</f>
        <v>222915</v>
      </c>
      <c r="L24" s="54" t="s">
        <v>311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379</v>
      </c>
      <c r="E25" s="33" t="s">
        <v>55</v>
      </c>
      <c r="F25" s="34">
        <v>1900000.0</v>
      </c>
      <c r="G25" s="33">
        <v>1.0</v>
      </c>
      <c r="H25" s="51">
        <f>IFERROR(F25*G25,0)</f>
        <v>1900000.0</v>
      </c>
      <c r="I25" s="51">
        <f t="array" ref="I25">IFERROR(INDEX('Tasas de Cambio'!$E$11:$E$15,MATCH(E25,'Tasas de Cambio'!$B$11:$B$15,0)),0)</f>
        <v>1.0</v>
      </c>
      <c r="J25" s="52">
        <f>IFERROR(H25*I25,0)</f>
        <v>1900000.0</v>
      </c>
      <c r="K25" s="53">
        <f>IFERROR(J25/'Tasas de Cambio'!$C$5,0)</f>
        <v>633333.3333333334</v>
      </c>
      <c r="L25" s="54" t="s">
        <v>380</v>
      </c>
      <c r="M25" s="1" t="s">
        <v>374</v>
      </c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4053</v>
      </c>
      <c r="J26" s="52">
        <f t="shared" si="2"/>
        <v>3295089</v>
      </c>
      <c r="K26" s="53">
        <f>IFERROR(J26/'Tasas de Cambio'!$C$5,0)</f>
        <v>1098363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4053</v>
      </c>
      <c r="J27" s="52">
        <f t="shared" si="2"/>
        <v>182385</v>
      </c>
      <c r="K27" s="53">
        <f>IFERROR(J27/'Tasas de Cambio'!$C$5,0)</f>
        <v>60795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 t="s">
        <v>409</v>
      </c>
      <c r="D28" s="32" t="s">
        <v>160</v>
      </c>
      <c r="E28" s="33" t="s">
        <v>12</v>
      </c>
      <c r="F28" s="34">
        <v>40.0</v>
      </c>
      <c r="G28" s="33">
        <v>1.0</v>
      </c>
      <c r="H28" s="51">
        <f>IFERROR(F28*G28,0)</f>
        <v>40.0</v>
      </c>
      <c r="I28" s="51">
        <f t="array" ref="I28">IFERROR(INDEX('Tasas de Cambio'!$E$11:$E$15,MATCH(E28,'Tasas de Cambio'!$B$11:$B$15,0)),0)</f>
        <v>3750.6</v>
      </c>
      <c r="J28" s="52">
        <f>IFERROR(H28*I28,0)</f>
        <v>150024.0</v>
      </c>
      <c r="K28" s="53">
        <f>IFERROR(J28/'Tasas de Cambio'!$C$5,0)</f>
        <v>50008.0</v>
      </c>
      <c r="L28" s="54" t="s">
        <v>123</v>
      </c>
      <c r="M28" s="1" t="s">
        <v>374</v>
      </c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3750.6</v>
      </c>
      <c r="J29" s="52">
        <f t="shared" si="2"/>
        <v>168777</v>
      </c>
      <c r="K29" s="53">
        <f>IFERROR(J29/'Tasas de Cambio'!$C$5,0)</f>
        <v>56259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11</v>
      </c>
      <c r="B30" s="29" t="s">
        <v>209</v>
      </c>
      <c r="C30" s="30" t="s">
        <v>210</v>
      </c>
      <c r="D30" s="32" t="s">
        <v>406</v>
      </c>
      <c r="E30" s="33" t="s">
        <v>12</v>
      </c>
      <c r="F30" s="34">
        <v>25.0</v>
      </c>
      <c r="G30" s="33">
        <v>3.0</v>
      </c>
      <c r="H30" s="51">
        <f>IFERROR(F30*G30,0)</f>
        <v>75.0</v>
      </c>
      <c r="I30" s="51">
        <f t="array" ref="I30">IFERROR(INDEX('Tasas de Cambio'!$E$11:$E$15,MATCH(E30,'Tasas de Cambio'!$B$11:$B$15,0)),0)</f>
        <v>3750.6</v>
      </c>
      <c r="J30" s="52">
        <f>IFERROR(H30*I30,0)</f>
        <v>281295.0</v>
      </c>
      <c r="K30" s="53">
        <f>IFERROR(J30/'Tasas de Cambio'!$C$5,0)</f>
        <v>93765.0</v>
      </c>
      <c r="L30" s="54" t="s">
        <v>408</v>
      </c>
      <c r="M30" s="1" t="s">
        <v>374</v>
      </c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3750.6</v>
      </c>
      <c r="J31" s="52">
        <f t="shared" si="2"/>
        <v>337554</v>
      </c>
      <c r="K31" s="53">
        <f>IFERROR(J31/'Tasas de Cambio'!$C$5,0)</f>
        <v>112518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 t="s">
        <v>410</v>
      </c>
      <c r="D32" s="32" t="s">
        <v>174</v>
      </c>
      <c r="E32" s="33" t="s">
        <v>12</v>
      </c>
      <c r="F32" s="34">
        <v>12.0</v>
      </c>
      <c r="G32" s="33">
        <v>3.0</v>
      </c>
      <c r="H32" s="51">
        <f>IFERROR(F32*G32,0)</f>
        <v>36.0</v>
      </c>
      <c r="I32" s="51">
        <f t="array" ref="I32">IFERROR(INDEX('Tasas de Cambio'!$E$11:$E$15,MATCH(E32,'Tasas de Cambio'!$B$11:$B$15,0)),0)</f>
        <v>3750.6</v>
      </c>
      <c r="J32" s="52">
        <f>IFERROR(H32*I32,0)</f>
        <v>135021.6</v>
      </c>
      <c r="K32" s="53">
        <f>IFERROR(J32/'Tasas de Cambio'!$C$5,0)</f>
        <v>45007.200000000004</v>
      </c>
      <c r="L32" s="54" t="s">
        <v>123</v>
      </c>
      <c r="M32" s="1" t="s">
        <v>374</v>
      </c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3218.25</v>
      </c>
      <c r="J33" s="52">
        <f>IFERROR(H33*I33,0)</f>
        <v>6468682.5</v>
      </c>
      <c r="K33" s="53">
        <f>IFERROR(J33/'Tasas de Cambio'!$C$5,0)</f>
        <v>2156227.5</v>
      </c>
      <c r="L33" s="54" t="s">
        <v>385</v>
      </c>
      <c r="M33" s="1" t="s">
        <v>374</v>
      </c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3750.6</v>
      </c>
      <c r="J34" s="52">
        <f t="shared" si="2"/>
        <v>112518</v>
      </c>
      <c r="K34" s="53">
        <f>IFERROR(J34/'Tasas de Cambio'!$C$5,0)</f>
        <v>37506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3750.6</v>
      </c>
      <c r="J35" s="52">
        <f t="shared" si="2"/>
        <v>0</v>
      </c>
      <c r="K35" s="53">
        <f>IFERROR(J35/'Tasas de Cambio'!$C$5,0)</f>
        <v>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3750.6</v>
      </c>
      <c r="J36" s="52">
        <f t="shared" si="2"/>
        <v>112518</v>
      </c>
      <c r="K36" s="53">
        <f>IFERROR(J36/'Tasas de Cambio'!$C$5,0)</f>
        <v>37506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3750.6</v>
      </c>
      <c r="J37" s="52">
        <f t="shared" si="2"/>
        <v>0</v>
      </c>
      <c r="K37" s="53">
        <f>IFERROR(J37/'Tasas de Cambio'!$C$5,0)</f>
        <v>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 t="s">
        <v>393</v>
      </c>
      <c r="D38" s="32" t="s">
        <v>391</v>
      </c>
      <c r="E38" s="33" t="s">
        <v>97</v>
      </c>
      <c r="F38" s="34">
        <v>70.0</v>
      </c>
      <c r="G38" s="33">
        <v>3.0</v>
      </c>
      <c r="H38" s="51">
        <f>IFERROR(F38*G38,0)</f>
        <v>210.0</v>
      </c>
      <c r="I38" s="51">
        <f t="array" ref="I38">IFERROR(INDEX('Tasas de Cambio'!$E$11:$E$15,MATCH(E38,'Tasas de Cambio'!$B$11:$B$15,0)),0)</f>
        <v>3218.25</v>
      </c>
      <c r="J38" s="52">
        <f>IFERROR(H38*I38,0)</f>
        <v>675832.5</v>
      </c>
      <c r="K38" s="53">
        <f>IFERROR(J38/'Tasas de Cambio'!$C$5,0)</f>
        <v>225277.5</v>
      </c>
      <c r="L38" s="54" t="s">
        <v>396</v>
      </c>
      <c r="M38" s="1" t="s">
        <v>374</v>
      </c>
    </row>
    <row r="39" ht="30.0" customHeight="1">
      <c r="A39" s="29" t="s">
        <v>59</v>
      </c>
      <c r="B39" s="29" t="s">
        <v>194</v>
      </c>
      <c r="C39" s="30">
        <v>46517.0</v>
      </c>
      <c r="D39" s="32" t="s">
        <v>197</v>
      </c>
      <c r="E39" s="33" t="s">
        <v>12</v>
      </c>
      <c r="F39" s="34">
        <v>25.0</v>
      </c>
      <c r="G39" s="33">
        <v>3.0</v>
      </c>
      <c r="H39" s="51">
        <f t="shared" si="1"/>
        <v>75</v>
      </c>
      <c r="I39" s="51">
        <f t="array" ref="I39">IFERROR(INDEX('Tasas de Cambio'!$E$11:$E$15,MATCH(E39,'Tasas de Cambio'!$B$11:$B$15,0)),0)</f>
        <v>3750.6</v>
      </c>
      <c r="J39" s="52">
        <f t="shared" si="2"/>
        <v>281295</v>
      </c>
      <c r="K39" s="53">
        <f>IFERROR(J39/'Tasas de Cambio'!$C$5,0)</f>
        <v>93765</v>
      </c>
      <c r="L39" s="5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29" t="s">
        <v>57</v>
      </c>
      <c r="B40" s="29" t="s">
        <v>198</v>
      </c>
      <c r="C40" s="30" t="s">
        <v>394</v>
      </c>
      <c r="D40" s="32" t="s">
        <v>395</v>
      </c>
      <c r="E40" s="33" t="s">
        <v>97</v>
      </c>
      <c r="F40" s="34">
        <v>120.0</v>
      </c>
      <c r="G40" s="33">
        <v>3.0</v>
      </c>
      <c r="H40" s="51">
        <f>IFERROR(F40*G40,0)</f>
        <v>360.0</v>
      </c>
      <c r="I40" s="51">
        <f t="array" ref="I40">IFERROR(INDEX('Tasas de Cambio'!$E$11:$E$15,MATCH(E40,'Tasas de Cambio'!$B$11:$B$15,0)),0)</f>
        <v>3218.25</v>
      </c>
      <c r="J40" s="52">
        <f>IFERROR(H40*I40,0)</f>
        <v>1158570.0</v>
      </c>
      <c r="K40" s="53">
        <f>IFERROR(J40/'Tasas de Cambio'!$C$5,0)</f>
        <v>386190.0</v>
      </c>
      <c r="L40" s="54" t="s">
        <v>397</v>
      </c>
      <c r="M40" s="1" t="s">
        <v>374</v>
      </c>
    </row>
    <row r="41" ht="30.0" customHeight="1">
      <c r="A41" s="29" t="s">
        <v>59</v>
      </c>
      <c r="B41" s="29" t="s">
        <v>198</v>
      </c>
      <c r="C41" s="30">
        <v>46518.0</v>
      </c>
      <c r="D41" s="32" t="s">
        <v>197</v>
      </c>
      <c r="E41" s="33" t="s">
        <v>12</v>
      </c>
      <c r="F41" s="34">
        <v>25.0</v>
      </c>
      <c r="G41" s="33">
        <v>3.0</v>
      </c>
      <c r="H41" s="51">
        <f t="shared" si="1"/>
        <v>75</v>
      </c>
      <c r="I41" s="51">
        <f t="array" ref="I41">IFERROR(INDEX('Tasas de Cambio'!$E$11:$E$15,MATCH(E41,'Tasas de Cambio'!$B$11:$B$15,0)),0)</f>
        <v>3750.6</v>
      </c>
      <c r="J41" s="52">
        <f t="shared" si="2"/>
        <v>281295</v>
      </c>
      <c r="K41" s="53">
        <f>IFERROR(J41/'Tasas de Cambio'!$C$5,0)</f>
        <v>93765</v>
      </c>
      <c r="L41" s="5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57</v>
      </c>
      <c r="B42" s="29" t="s">
        <v>201</v>
      </c>
      <c r="C42" s="30" t="s">
        <v>389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3750.6</v>
      </c>
      <c r="J42" s="52">
        <f>IFERROR(H42*I42,0)</f>
        <v>0.0</v>
      </c>
      <c r="K42" s="53">
        <f>IFERROR(J42/'Tasas de Cambio'!$C$5,0)</f>
        <v>0.0</v>
      </c>
      <c r="L42" s="54" t="s">
        <v>123</v>
      </c>
      <c r="M42" s="1" t="s">
        <v>374</v>
      </c>
    </row>
    <row r="43" ht="30.0" customHeight="1">
      <c r="A43" s="29" t="s">
        <v>59</v>
      </c>
      <c r="B43" s="29" t="s">
        <v>201</v>
      </c>
      <c r="C43" s="30" t="s">
        <v>389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>IFERROR(F43*G43,0)</f>
        <v>0.0</v>
      </c>
      <c r="I43" s="51">
        <f t="array" ref="I43">IFERROR(INDEX('Tasas de Cambio'!$E$11:$E$15,MATCH(E43,'Tasas de Cambio'!$B$11:$B$15,0)),0)</f>
        <v>3750.6</v>
      </c>
      <c r="J43" s="52">
        <f>IFERROR(H43*I43,0)</f>
        <v>0.0</v>
      </c>
      <c r="K43" s="53">
        <f>IFERROR(J43/'Tasas de Cambio'!$C$5,0)</f>
        <v>0.0</v>
      </c>
      <c r="L43" s="54" t="s">
        <v>388</v>
      </c>
      <c r="M43" s="1" t="s">
        <v>374</v>
      </c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155.82</v>
      </c>
      <c r="J44" s="52">
        <f t="shared" si="2"/>
        <v>0</v>
      </c>
      <c r="K44" s="53">
        <f>IFERROR(J44/'Tasas de Cambio'!$C$5,0)</f>
        <v>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3750.6</v>
      </c>
      <c r="J45" s="52">
        <f t="shared" si="2"/>
        <v>112518</v>
      </c>
      <c r="K45" s="53">
        <f>IFERROR(J45/'Tasas de Cambio'!$C$5,0)</f>
        <v>37506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 t="s">
        <v>390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>IFERROR(F46*G46,0)</f>
        <v>0.0</v>
      </c>
      <c r="I46" s="51">
        <f t="array" ref="I46">IFERROR(INDEX('Tasas de Cambio'!$E$11:$E$15,MATCH(E46,'Tasas de Cambio'!$B$11:$B$15,0)),0)</f>
        <v>3750.6</v>
      </c>
      <c r="J46" s="52">
        <f>IFERROR(H46*I46,0)</f>
        <v>0.0</v>
      </c>
      <c r="K46" s="53">
        <f>IFERROR(J46/'Tasas de Cambio'!$C$5,0)</f>
        <v>0.0</v>
      </c>
      <c r="L46" s="54" t="s">
        <v>388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3750.6</v>
      </c>
      <c r="J47" s="52">
        <f>IFERROR(H47*I47,0)</f>
        <v>1500240.0</v>
      </c>
      <c r="K47" s="53">
        <f>IFERROR(J47/'Tasas de Cambio'!$C$5,0)</f>
        <v>500080.0</v>
      </c>
      <c r="L47" s="54" t="s">
        <v>123</v>
      </c>
      <c r="M47" s="1" t="s">
        <v>374</v>
      </c>
    </row>
    <row r="48" ht="30.0" customHeight="1">
      <c r="A48" s="29" t="s">
        <v>14</v>
      </c>
      <c r="B48" s="29" t="s">
        <v>209</v>
      </c>
      <c r="C48" s="30" t="s">
        <v>405</v>
      </c>
      <c r="D48" s="32" t="s">
        <v>404</v>
      </c>
      <c r="E48" s="33" t="s">
        <v>12</v>
      </c>
      <c r="F48" s="34">
        <v>12.0</v>
      </c>
      <c r="G48" s="33">
        <v>3.0</v>
      </c>
      <c r="H48" s="51">
        <f>IFERROR(F48*G48,0)</f>
        <v>36.0</v>
      </c>
      <c r="I48" s="51">
        <f t="array" ref="I48">IFERROR(INDEX('Tasas de Cambio'!$E$11:$E$15,MATCH(E48,'Tasas de Cambio'!$B$11:$B$15,0)),0)</f>
        <v>3750.6</v>
      </c>
      <c r="J48" s="52">
        <f>IFERROR(H48*I48,0)</f>
        <v>135021.6</v>
      </c>
      <c r="K48" s="53">
        <f>IFERROR(J48/'Tasas de Cambio'!$C$5,0)</f>
        <v>45007.200000000004</v>
      </c>
      <c r="L48" s="54" t="s">
        <v>123</v>
      </c>
      <c r="M48" s="1" t="s">
        <v>374</v>
      </c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3750.6</v>
      </c>
      <c r="J49" s="52">
        <f t="shared" si="2"/>
        <v>337554</v>
      </c>
      <c r="K49" s="53">
        <f>IFERROR(J49/'Tasas de Cambio'!$C$5,0)</f>
        <v>112518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3750.6</v>
      </c>
      <c r="J51" s="52">
        <f t="shared" si="2"/>
        <v>112518</v>
      </c>
      <c r="K51" s="53">
        <f>IFERROR(J51/'Tasas de Cambio'!$C$5,0)</f>
        <v>37506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 t="s">
        <v>210</v>
      </c>
      <c r="D52" s="32" t="s">
        <v>400</v>
      </c>
      <c r="E52" s="33" t="s">
        <v>12</v>
      </c>
      <c r="F52" s="34">
        <v>10.0</v>
      </c>
      <c r="G52" s="33">
        <v>3.0</v>
      </c>
      <c r="H52" s="51">
        <f>IFERROR(F52*G52,0)</f>
        <v>30.0</v>
      </c>
      <c r="I52" s="51">
        <f t="array" ref="I52">IFERROR(INDEX('Tasas de Cambio'!$E$11:$E$15,MATCH(E52,'Tasas de Cambio'!$B$11:$B$15,0)),0)</f>
        <v>3750.6</v>
      </c>
      <c r="J52" s="52">
        <f>IFERROR(H52*I52,0)</f>
        <v>112518.0</v>
      </c>
      <c r="K52" s="53">
        <f>IFERROR(J52/'Tasas de Cambio'!$C$5,0)</f>
        <v>37506.0</v>
      </c>
      <c r="L52" s="54" t="s">
        <v>401</v>
      </c>
      <c r="M52" s="1" t="s">
        <v>374</v>
      </c>
    </row>
    <row r="53" ht="30.0" customHeight="1">
      <c r="A53" s="29" t="s">
        <v>59</v>
      </c>
      <c r="B53" s="29" t="s">
        <v>228</v>
      </c>
      <c r="C53" s="30">
        <v>46523.0</v>
      </c>
      <c r="D53" s="32" t="s">
        <v>230</v>
      </c>
      <c r="E53" s="33" t="s">
        <v>12</v>
      </c>
      <c r="F53" s="34">
        <v>25.0</v>
      </c>
      <c r="G53" s="33">
        <v>3.0</v>
      </c>
      <c r="H53" s="51">
        <f t="shared" si="1"/>
        <v>75</v>
      </c>
      <c r="I53" s="51">
        <f t="array" ref="I53">IFERROR(INDEX('Tasas de Cambio'!$E$11:$E$15,MATCH(E53,'Tasas de Cambio'!$B$11:$B$15,0)),0)</f>
        <v>3750.6</v>
      </c>
      <c r="J53" s="52">
        <f t="shared" si="2"/>
        <v>281295</v>
      </c>
      <c r="K53" s="53">
        <f>IFERROR(J53/'Tasas de Cambio'!$C$5,0)</f>
        <v>93765</v>
      </c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32"/>
      <c r="E54" s="33"/>
      <c r="F54" s="34"/>
      <c r="G54" s="33"/>
      <c r="H54" s="51"/>
      <c r="I54" s="51"/>
      <c r="J54" s="52"/>
      <c r="K54" s="53"/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3218.25</v>
      </c>
      <c r="J5" s="52">
        <f>IFERROR(H5*I5,0)</f>
        <v>96547.5</v>
      </c>
      <c r="K5" s="53">
        <f>IFERROR(J5/'Tasas de Cambio'!$C$5,0)</f>
        <v>32182.5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3218.25</v>
      </c>
      <c r="J6" s="52">
        <f>IFERROR(H6*I6,0)</f>
        <v>96547.5</v>
      </c>
      <c r="K6" s="53">
        <f>IFERROR(J6/'Tasas de Cambio'!$C$5,0)</f>
        <v>32182.5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3750.6</v>
      </c>
      <c r="J9" s="52">
        <f>IFERROR(H9*I9,0)</f>
        <v>281295.0</v>
      </c>
      <c r="K9" s="53">
        <f>IFERROR(J9/'Tasas de Cambio'!$C$5,0)</f>
        <v>93765.0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3218.25</v>
      </c>
      <c r="J10" s="52">
        <f t="shared" si="2"/>
        <v>167349</v>
      </c>
      <c r="K10" s="53">
        <f>IFERROR(J10/'Tasas de Cambio'!$C$5,0)</f>
        <v>55783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3750.6</v>
      </c>
      <c r="J11" s="52">
        <f t="shared" si="2"/>
        <v>2250360</v>
      </c>
      <c r="K11" s="53">
        <f>IFERROR(J11/'Tasas de Cambio'!$C$5,0)</f>
        <v>750120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3750.6</v>
      </c>
      <c r="J13" s="52">
        <f t="shared" si="2"/>
        <v>281295</v>
      </c>
      <c r="K13" s="53">
        <f>IFERROR(J13/'Tasas de Cambio'!$C$5,0)</f>
        <v>93765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287</v>
      </c>
      <c r="E14" s="33" t="s">
        <v>12</v>
      </c>
      <c r="F14" s="34">
        <v>130.0</v>
      </c>
      <c r="G14" s="33">
        <v>5.0</v>
      </c>
      <c r="H14" s="51">
        <f>IFERROR(F14*G14,0)</f>
        <v>650.0</v>
      </c>
      <c r="I14" s="51">
        <f t="array" ref="I14">IFERROR(INDEX('Tasas de Cambio'!$E$11:$E$15,MATCH(E14,'Tasas de Cambio'!$B$11:$B$15,0)),0)</f>
        <v>3750.6</v>
      </c>
      <c r="J14" s="52">
        <f>IFERROR(H14*I14,0)</f>
        <v>2437890.0</v>
      </c>
      <c r="K14" s="53">
        <f>IFERROR(J14/'Tasas de Cambio'!$C$5,0)</f>
        <v>812630.0</v>
      </c>
      <c r="L14" s="54" t="s">
        <v>347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292</v>
      </c>
      <c r="C17" s="30">
        <v>46509.0</v>
      </c>
      <c r="D17" s="32" t="s">
        <v>290</v>
      </c>
      <c r="E17" s="33" t="s">
        <v>97</v>
      </c>
      <c r="F17" s="34">
        <v>23.0</v>
      </c>
      <c r="G17" s="33">
        <v>3.0</v>
      </c>
      <c r="H17" s="51">
        <f t="shared" si="1"/>
        <v>69</v>
      </c>
      <c r="I17" s="51">
        <f t="array" ref="I17">IFERROR(INDEX('Tasas de Cambio'!$E$11:$E$15,MATCH(E17,'Tasas de Cambio'!$B$11:$B$15,0)),0)</f>
        <v>3218.25</v>
      </c>
      <c r="J17" s="52">
        <f t="shared" si="2"/>
        <v>222059.25</v>
      </c>
      <c r="K17" s="53">
        <f>IFERROR(J17/'Tasas de Cambio'!$C$5,0)</f>
        <v>74019.75</v>
      </c>
      <c r="L17" s="54" t="s">
        <v>350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292</v>
      </c>
      <c r="C18" s="30">
        <v>46509.0</v>
      </c>
      <c r="D18" s="32" t="s">
        <v>126</v>
      </c>
      <c r="E18" s="33" t="s">
        <v>12</v>
      </c>
      <c r="F18" s="34">
        <v>40.0</v>
      </c>
      <c r="G18" s="33">
        <v>3.0</v>
      </c>
      <c r="H18" s="51">
        <f t="shared" si="1"/>
        <v>120</v>
      </c>
      <c r="I18" s="51">
        <f t="array" ref="I18">IFERROR(INDEX('Tasas de Cambio'!$E$11:$E$15,MATCH(E18,'Tasas de Cambio'!$B$11:$B$15,0)),0)</f>
        <v>3750.6</v>
      </c>
      <c r="J18" s="52">
        <f t="shared" si="2"/>
        <v>450072</v>
      </c>
      <c r="K18" s="53">
        <f>IFERROR(J18/'Tasas de Cambio'!$C$5,0)</f>
        <v>150024</v>
      </c>
      <c r="L18" s="54" t="s">
        <v>351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3750.6</v>
      </c>
      <c r="J19" s="52">
        <f t="shared" si="2"/>
        <v>956403</v>
      </c>
      <c r="K19" s="53">
        <f>IFERROR(J19/'Tasas de Cambio'!$C$5,0)</f>
        <v>318801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>
        <v>46510.0</v>
      </c>
      <c r="D20" s="32" t="s">
        <v>126</v>
      </c>
      <c r="E20" s="33" t="s">
        <v>12</v>
      </c>
      <c r="F20" s="34">
        <v>40.0</v>
      </c>
      <c r="G20" s="33">
        <v>3.0</v>
      </c>
      <c r="H20" s="51">
        <f t="shared" si="1"/>
        <v>120</v>
      </c>
      <c r="I20" s="51">
        <f t="array" ref="I20">IFERROR(INDEX('Tasas de Cambio'!$E$11:$E$15,MATCH(E20,'Tasas de Cambio'!$B$11:$B$15,0)),0)</f>
        <v>3750.6</v>
      </c>
      <c r="J20" s="52">
        <f t="shared" si="2"/>
        <v>450072</v>
      </c>
      <c r="K20" s="53">
        <f>IFERROR(J20/'Tasas de Cambio'!$C$5,0)</f>
        <v>150024</v>
      </c>
      <c r="L20" s="54" t="s">
        <v>351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3750.6</v>
      </c>
      <c r="J21" s="52">
        <f t="shared" si="2"/>
        <v>281295</v>
      </c>
      <c r="K21" s="53">
        <f>IFERROR(J21/'Tasas de Cambio'!$C$5,0)</f>
        <v>93765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>
        <v>46511.0</v>
      </c>
      <c r="D22" s="32" t="s">
        <v>126</v>
      </c>
      <c r="E22" s="33" t="s">
        <v>12</v>
      </c>
      <c r="F22" s="34">
        <v>40.0</v>
      </c>
      <c r="G22" s="33">
        <v>3.0</v>
      </c>
      <c r="H22" s="51">
        <f t="shared" si="1"/>
        <v>120</v>
      </c>
      <c r="I22" s="51">
        <f t="array" ref="I22">IFERROR(INDEX('Tasas de Cambio'!$E$11:$E$15,MATCH(E22,'Tasas de Cambio'!$B$11:$B$15,0)),0)</f>
        <v>3750.6</v>
      </c>
      <c r="J22" s="52">
        <f t="shared" si="2"/>
        <v>450072</v>
      </c>
      <c r="K22" s="53">
        <f>IFERROR(J22/'Tasas de Cambio'!$C$5,0)</f>
        <v>150024</v>
      </c>
      <c r="L22" s="54" t="s">
        <v>351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292</v>
      </c>
      <c r="C23" s="30">
        <v>46512.0</v>
      </c>
      <c r="D23" s="32" t="s">
        <v>126</v>
      </c>
      <c r="E23" s="33" t="s">
        <v>12</v>
      </c>
      <c r="F23" s="34">
        <v>40.0</v>
      </c>
      <c r="G23" s="33">
        <v>3.0</v>
      </c>
      <c r="H23" s="51">
        <f t="shared" si="1"/>
        <v>120</v>
      </c>
      <c r="I23" s="51">
        <f t="array" ref="I23">IFERROR(INDEX('Tasas de Cambio'!$E$11:$E$15,MATCH(E23,'Tasas de Cambio'!$B$11:$B$15,0)),0)</f>
        <v>3750.6</v>
      </c>
      <c r="J23" s="52">
        <f t="shared" si="2"/>
        <v>450072</v>
      </c>
      <c r="K23" s="53">
        <f>IFERROR(J23/'Tasas de Cambio'!$C$5,0)</f>
        <v>150024</v>
      </c>
      <c r="L23" s="54" t="s">
        <v>351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3750.6</v>
      </c>
      <c r="J25" s="52">
        <f t="shared" si="2"/>
        <v>1766195.046</v>
      </c>
      <c r="K25" s="53">
        <f>IFERROR(J25/'Tasas de Cambio'!$C$5,0)</f>
        <v>588731.682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3750.6</v>
      </c>
      <c r="J26" s="52">
        <f t="shared" si="2"/>
        <v>281295</v>
      </c>
      <c r="K26" s="53">
        <f>IFERROR(J26/'Tasas de Cambio'!$C$5,0)</f>
        <v>93765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3750.6</v>
      </c>
      <c r="J27" s="52">
        <f>IFERROR(H27*I27,0)</f>
        <v>150024.0</v>
      </c>
      <c r="K27" s="53">
        <f>IFERROR(J27/'Tasas de Cambio'!$C$5,0)</f>
        <v>50008.0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3750.6</v>
      </c>
      <c r="J28" s="52">
        <f t="shared" si="2"/>
        <v>168777</v>
      </c>
      <c r="K28" s="53">
        <f>IFERROR(J28/'Tasas de Cambio'!$C$5,0)</f>
        <v>56259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3750.6</v>
      </c>
      <c r="J29" s="52">
        <f>IFERROR(H29*I29,0)</f>
        <v>281295.0</v>
      </c>
      <c r="K29" s="53">
        <f>IFERROR(J29/'Tasas de Cambio'!$C$5,0)</f>
        <v>93765.0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3750.6</v>
      </c>
      <c r="J30" s="52">
        <f t="shared" si="2"/>
        <v>337554</v>
      </c>
      <c r="K30" s="53">
        <f>IFERROR(J30/'Tasas de Cambio'!$C$5,0)</f>
        <v>112518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3750.6</v>
      </c>
      <c r="J31" s="52">
        <f>IFERROR(H31*I31,0)</f>
        <v>135021.6</v>
      </c>
      <c r="K31" s="53">
        <f>IFERROR(J31/'Tasas de Cambio'!$C$5,0)</f>
        <v>45007.200000000004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3218.25</v>
      </c>
      <c r="J32" s="52">
        <f>IFERROR(H32*I32,0)</f>
        <v>6468682.5</v>
      </c>
      <c r="K32" s="53">
        <f>IFERROR(J32/'Tasas de Cambio'!$C$5,0)</f>
        <v>2156227.5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3750.6</v>
      </c>
      <c r="J33" s="52">
        <f t="shared" si="2"/>
        <v>112518</v>
      </c>
      <c r="K33" s="53">
        <f>IFERROR(J33/'Tasas de Cambio'!$C$5,0)</f>
        <v>37506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3750.6</v>
      </c>
      <c r="J34" s="52">
        <f t="shared" si="2"/>
        <v>0</v>
      </c>
      <c r="K34" s="53">
        <f>IFERROR(J34/'Tasas de Cambio'!$C$5,0)</f>
        <v>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3750.6</v>
      </c>
      <c r="J35" s="52">
        <f t="shared" si="2"/>
        <v>112518</v>
      </c>
      <c r="K35" s="53">
        <f>IFERROR(J35/'Tasas de Cambio'!$C$5,0)</f>
        <v>37506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3750.6</v>
      </c>
      <c r="J36" s="52">
        <f t="shared" si="2"/>
        <v>0</v>
      </c>
      <c r="K36" s="53">
        <f>IFERROR(J36/'Tasas de Cambio'!$C$5,0)</f>
        <v>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3218.25</v>
      </c>
      <c r="J37" s="52">
        <f>IFERROR(H37*I37,0)</f>
        <v>675832.5</v>
      </c>
      <c r="K37" s="53">
        <f>IFERROR(J37/'Tasas de Cambio'!$C$5,0)</f>
        <v>225277.5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>
        <v>46517.0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3750.6</v>
      </c>
      <c r="J38" s="52">
        <f t="shared" si="2"/>
        <v>281295</v>
      </c>
      <c r="K38" s="53">
        <f>IFERROR(J38/'Tasas de Cambio'!$C$5,0)</f>
        <v>93765</v>
      </c>
      <c r="L38" s="5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3218.25</v>
      </c>
      <c r="J39" s="52">
        <f>IFERROR(H39*I39,0)</f>
        <v>1158570.0</v>
      </c>
      <c r="K39" s="53">
        <f>IFERROR(J39/'Tasas de Cambio'!$C$5,0)</f>
        <v>386190.0</v>
      </c>
      <c r="L39" s="54" t="s">
        <v>397</v>
      </c>
      <c r="M39" s="1" t="s">
        <v>374</v>
      </c>
    </row>
    <row r="40" ht="30.0" customHeight="1">
      <c r="A40" s="29" t="s">
        <v>59</v>
      </c>
      <c r="B40" s="29" t="s">
        <v>198</v>
      </c>
      <c r="C40" s="30">
        <v>46518.0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3750.6</v>
      </c>
      <c r="J40" s="52">
        <f t="shared" si="2"/>
        <v>281295</v>
      </c>
      <c r="K40" s="53">
        <f>IFERROR(J40/'Tasas de Cambio'!$C$5,0)</f>
        <v>93765</v>
      </c>
      <c r="L40" s="5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3750.6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3750.6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155.82</v>
      </c>
      <c r="J43" s="52">
        <f t="shared" si="2"/>
        <v>0</v>
      </c>
      <c r="K43" s="53">
        <f>IFERROR(J43/'Tasas de Cambio'!$C$5,0)</f>
        <v>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3750.6</v>
      </c>
      <c r="J44" s="52">
        <f t="shared" si="2"/>
        <v>112518</v>
      </c>
      <c r="K44" s="53">
        <f>IFERROR(J44/'Tasas de Cambio'!$C$5,0)</f>
        <v>37506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3750.6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3750.6</v>
      </c>
      <c r="J46" s="52">
        <f>IFERROR(H46*I46,0)</f>
        <v>1500240.0</v>
      </c>
      <c r="K46" s="53">
        <f>IFERROR(J46/'Tasas de Cambio'!$C$5,0)</f>
        <v>500080.0</v>
      </c>
      <c r="L46" s="54" t="s">
        <v>123</v>
      </c>
      <c r="M46" s="1" t="s">
        <v>374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3750.6</v>
      </c>
      <c r="J47" s="52">
        <f>IFERROR(H47*I47,0)</f>
        <v>135021.6</v>
      </c>
      <c r="K47" s="53">
        <f>IFERROR(J47/'Tasas de Cambio'!$C$5,0)</f>
        <v>45007.200000000004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3750.6</v>
      </c>
      <c r="J48" s="52">
        <f t="shared" si="2"/>
        <v>337554</v>
      </c>
      <c r="K48" s="53">
        <f>IFERROR(J48/'Tasas de Cambio'!$C$5,0)</f>
        <v>112518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3750.6</v>
      </c>
      <c r="J50" s="52">
        <f t="shared" si="2"/>
        <v>112518</v>
      </c>
      <c r="K50" s="53">
        <f>IFERROR(J50/'Tasas de Cambio'!$C$5,0)</f>
        <v>37506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3750.6</v>
      </c>
      <c r="J51" s="52">
        <f>IFERROR(H51*I51,0)</f>
        <v>112518.0</v>
      </c>
      <c r="K51" s="53">
        <f>IFERROR(J51/'Tasas de Cambio'!$C$5,0)</f>
        <v>37506.0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>
        <v>46523.0</v>
      </c>
      <c r="D52" s="32" t="s">
        <v>230</v>
      </c>
      <c r="E52" s="33" t="s">
        <v>12</v>
      </c>
      <c r="F52" s="34">
        <v>25.0</v>
      </c>
      <c r="G52" s="33">
        <v>3.0</v>
      </c>
      <c r="H52" s="51">
        <f t="shared" si="1"/>
        <v>75</v>
      </c>
      <c r="I52" s="51">
        <f t="array" ref="I52">IFERROR(INDEX('Tasas de Cambio'!$E$11:$E$15,MATCH(E52,'Tasas de Cambio'!$B$11:$B$15,0)),0)</f>
        <v>3750.6</v>
      </c>
      <c r="J52" s="52">
        <f t="shared" si="2"/>
        <v>281295</v>
      </c>
      <c r="K52" s="53">
        <f>IFERROR(J52/'Tasas de Cambio'!$C$5,0)</f>
        <v>93765</v>
      </c>
      <c r="L52" s="5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/>
      <c r="B53" s="29"/>
      <c r="C53" s="30"/>
      <c r="D53" s="32"/>
      <c r="E53" s="33"/>
      <c r="F53" s="34"/>
      <c r="G53" s="33"/>
      <c r="H53" s="51"/>
      <c r="I53" s="51"/>
      <c r="J53" s="52"/>
      <c r="K53" s="53"/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3218.25</v>
      </c>
      <c r="J5" s="52">
        <f t="shared" ref="J5:J33" si="2">IFERROR(H5*I5,0)</f>
        <v>128730</v>
      </c>
      <c r="K5" s="53">
        <f>IFERROR(J5/'Tasas de Cambio'!$C$5,0)</f>
        <v>42910</v>
      </c>
      <c r="L5" s="54" t="s">
        <v>370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3750.6</v>
      </c>
      <c r="J6" s="52">
        <f t="shared" si="2"/>
        <v>2250360</v>
      </c>
      <c r="K6" s="53">
        <f>IFERROR(J6/'Tasas de Cambio'!$C$5,0)</f>
        <v>750120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3.0</v>
      </c>
      <c r="H7" s="51">
        <f>IFERROR(F7*G7,0)</f>
        <v>665955.0</v>
      </c>
      <c r="I7" s="51">
        <f t="array" ref="I7">IFERROR(INDEX('Tasas de Cambio'!$E$11:$E$15,MATCH(E7,'Tasas de Cambio'!$B$11:$B$15,0)),0)</f>
        <v>1.0</v>
      </c>
      <c r="J7" s="52">
        <f>IFERROR(H7*I7,0)</f>
        <v>665955.0</v>
      </c>
      <c r="K7" s="53">
        <f>IFERROR(J7/'Tasas de Cambio'!$C$5,0)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3.0</v>
      </c>
      <c r="H8" s="51">
        <f t="shared" si="1"/>
        <v>4473210</v>
      </c>
      <c r="I8" s="51">
        <f t="array" ref="I8">IFERROR(INDEX('Tasas de Cambio'!$E$11:$E$15,MATCH(E8,'Tasas de Cambio'!$B$11:$B$15,0)),0)</f>
        <v>1</v>
      </c>
      <c r="J8" s="52">
        <f t="shared" si="2"/>
        <v>4473210</v>
      </c>
      <c r="K8" s="53">
        <f>IFERROR(J8/'Tasas de Cambio'!$C$5,0)</f>
        <v>1491070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1900000.0</v>
      </c>
      <c r="G9" s="33">
        <v>1.0</v>
      </c>
      <c r="H9" s="51">
        <f>IFERROR(F9*G9,0)</f>
        <v>1900000.0</v>
      </c>
      <c r="I9" s="51">
        <f t="array" ref="I9">IFERROR(INDEX('Tasas de Cambio'!$E$11:$E$15,MATCH(E9,'Tasas de Cambio'!$B$11:$B$15,0)),0)</f>
        <v>1.0</v>
      </c>
      <c r="J9" s="52">
        <f>IFERROR(H9*I9,0)</f>
        <v>1900000.0</v>
      </c>
      <c r="K9" s="53">
        <f>IFERROR(J9/'Tasas de Cambio'!$C$5,0)</f>
        <v>633333.3333333334</v>
      </c>
      <c r="L9" s="54" t="s">
        <v>380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3750.6</v>
      </c>
      <c r="J10" s="52">
        <f>IFERROR(H10*I10,0)</f>
        <v>150024.0</v>
      </c>
      <c r="K10" s="53">
        <f>IFERROR(J10/'Tasas de Cambio'!$C$5,0)</f>
        <v>50008.0</v>
      </c>
      <c r="L10" s="54" t="s">
        <v>123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3750.6</v>
      </c>
      <c r="J11" s="52">
        <f t="shared" si="2"/>
        <v>168777</v>
      </c>
      <c r="K11" s="53">
        <f>IFERROR(J11/'Tasas de Cambio'!$C$5,0)</f>
        <v>56259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3.0</v>
      </c>
      <c r="H12" s="51">
        <f>IFERROR(F12*G12,0)</f>
        <v>30.0</v>
      </c>
      <c r="I12" s="51">
        <f t="array" ref="I12">IFERROR(INDEX('Tasas de Cambio'!$E$11:$E$15,MATCH(E12,'Tasas de Cambio'!$B$11:$B$15,0)),0)</f>
        <v>3218.25</v>
      </c>
      <c r="J12" s="52">
        <f>IFERROR(H12*I12,0)</f>
        <v>96547.5</v>
      </c>
      <c r="K12" s="53">
        <f>IFERROR(J12/'Tasas de Cambio'!$C$5,0)</f>
        <v>32182.5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3750.6</v>
      </c>
      <c r="J13" s="52">
        <f t="shared" si="2"/>
        <v>337554</v>
      </c>
      <c r="K13" s="53">
        <f>IFERROR(J13/'Tasas de Cambio'!$C$5,0)</f>
        <v>112518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3.0</v>
      </c>
      <c r="H14" s="51">
        <f>IFERROR(F14*G14,0)</f>
        <v>36.0</v>
      </c>
      <c r="I14" s="51">
        <f t="array" ref="I14">IFERROR(INDEX('Tasas de Cambio'!$E$11:$E$15,MATCH(E14,'Tasas de Cambio'!$B$11:$B$15,0)),0)</f>
        <v>3750.6</v>
      </c>
      <c r="J14" s="52">
        <f>IFERROR(H14*I14,0)</f>
        <v>135021.6</v>
      </c>
      <c r="K14" s="53">
        <f>IFERROR(J14/'Tasas de Cambio'!$C$5,0)</f>
        <v>45007.200000000004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>IFERROR(F15*G15,0)</f>
        <v>2010.0</v>
      </c>
      <c r="I15" s="51">
        <f t="array" ref="I15">IFERROR(INDEX('Tasas de Cambio'!$E$11:$E$15,MATCH(E15,'Tasas de Cambio'!$B$11:$B$15,0)),0)</f>
        <v>3218.25</v>
      </c>
      <c r="J15" s="52">
        <f>IFERROR(H15*I15,0)</f>
        <v>6468682.5</v>
      </c>
      <c r="K15" s="53">
        <f>IFERROR(J15/'Tasas de Cambio'!$C$5,0)</f>
        <v>2156227.5</v>
      </c>
      <c r="L15" s="54" t="s">
        <v>385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3750.6</v>
      </c>
      <c r="J16" s="52">
        <f t="shared" si="2"/>
        <v>112518</v>
      </c>
      <c r="K16" s="53">
        <f>IFERROR(J16/'Tasas de Cambio'!$C$5,0)</f>
        <v>37506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3750.6</v>
      </c>
      <c r="J17" s="52">
        <f t="shared" si="2"/>
        <v>0</v>
      </c>
      <c r="K17" s="53">
        <f>IFERROR(J17/'Tasas de Cambio'!$C$5,0)</f>
        <v>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3750.6</v>
      </c>
      <c r="J18" s="52">
        <f t="shared" si="2"/>
        <v>112518</v>
      </c>
      <c r="K18" s="53">
        <f>IFERROR(J18/'Tasas de Cambio'!$C$5,0)</f>
        <v>37506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3750.6</v>
      </c>
      <c r="J19" s="52">
        <f t="shared" si="2"/>
        <v>0</v>
      </c>
      <c r="K19" s="53">
        <f>IFERROR(J19/'Tasas de Cambio'!$C$5,0)</f>
        <v>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3218.25</v>
      </c>
      <c r="J20" s="52">
        <f>IFERROR(H20*I20,0)</f>
        <v>675832.5</v>
      </c>
      <c r="K20" s="53">
        <f>IFERROR(J20/'Tasas de Cambio'!$C$5,0)</f>
        <v>225277.5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3750.6</v>
      </c>
      <c r="J21" s="52">
        <f t="shared" si="2"/>
        <v>281295</v>
      </c>
      <c r="K21" s="53">
        <f>IFERROR(J21/'Tasas de Cambio'!$C$5,0)</f>
        <v>93765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3.0</v>
      </c>
      <c r="H22" s="51">
        <f>IFERROR(F22*G22,0)</f>
        <v>360.0</v>
      </c>
      <c r="I22" s="51">
        <f t="array" ref="I22">IFERROR(INDEX('Tasas de Cambio'!$E$11:$E$15,MATCH(E22,'Tasas de Cambio'!$B$11:$B$15,0)),0)</f>
        <v>3218.25</v>
      </c>
      <c r="J22" s="52">
        <f>IFERROR(H22*I22,0)</f>
        <v>1158570.0</v>
      </c>
      <c r="K22" s="53">
        <f>IFERROR(J22/'Tasas de Cambio'!$C$5,0)</f>
        <v>386190.0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3750.6</v>
      </c>
      <c r="J23" s="52">
        <f t="shared" si="2"/>
        <v>281295</v>
      </c>
      <c r="K23" s="53">
        <f>IFERROR(J23/'Tasas de Cambio'!$C$5,0)</f>
        <v>93765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3750.6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155.82</v>
      </c>
      <c r="J25" s="52">
        <f t="shared" si="2"/>
        <v>0</v>
      </c>
      <c r="K25" s="53">
        <f>IFERROR(J25/'Tasas de Cambio'!$C$5,0)</f>
        <v>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3750.6</v>
      </c>
      <c r="J26" s="52">
        <f t="shared" si="2"/>
        <v>112518</v>
      </c>
      <c r="K26" s="53">
        <f>IFERROR(J26/'Tasas de Cambio'!$C$5,0)</f>
        <v>37506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400.0</v>
      </c>
      <c r="G27" s="33">
        <v>1.0</v>
      </c>
      <c r="H27" s="51">
        <f>IFERROR(F27*G27,0)</f>
        <v>400.0</v>
      </c>
      <c r="I27" s="51">
        <f t="array" ref="I27">IFERROR(INDEX('Tasas de Cambio'!$E$11:$E$15,MATCH(E27,'Tasas de Cambio'!$B$11:$B$15,0)),0)</f>
        <v>3750.6</v>
      </c>
      <c r="J27" s="52">
        <f>IFERROR(H27*I27,0)</f>
        <v>1500240.0</v>
      </c>
      <c r="K27" s="53">
        <f>IFERROR(J27/'Tasas de Cambio'!$C$5,0)</f>
        <v>500080.0</v>
      </c>
      <c r="L27" s="54" t="s">
        <v>123</v>
      </c>
      <c r="M27" s="1" t="s">
        <v>374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3.0</v>
      </c>
      <c r="H28" s="51">
        <f>IFERROR(F28*G28,0)</f>
        <v>36.0</v>
      </c>
      <c r="I28" s="51">
        <f t="array" ref="I28">IFERROR(INDEX('Tasas de Cambio'!$E$11:$E$15,MATCH(E28,'Tasas de Cambio'!$B$11:$B$15,0)),0)</f>
        <v>3750.6</v>
      </c>
      <c r="J28" s="52">
        <f>IFERROR(H28*I28,0)</f>
        <v>135021.6</v>
      </c>
      <c r="K28" s="53">
        <f>IFERROR(J28/'Tasas de Cambio'!$C$5,0)</f>
        <v>45007.200000000004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3750.6</v>
      </c>
      <c r="J29" s="52">
        <f t="shared" si="2"/>
        <v>337554</v>
      </c>
      <c r="K29" s="53">
        <f>IFERROR(J29/'Tasas de Cambio'!$C$5,0)</f>
        <v>112518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3.0</v>
      </c>
      <c r="H30" s="51">
        <f t="shared" si="1"/>
        <v>4473210</v>
      </c>
      <c r="I30" s="51">
        <f t="array" ref="I30">IFERROR(INDEX('Tasas de Cambio'!$E$11:$E$15,MATCH(E30,'Tasas de Cambio'!$B$11:$B$15,0)),0)</f>
        <v>1</v>
      </c>
      <c r="J30" s="52">
        <f t="shared" si="2"/>
        <v>4473210</v>
      </c>
      <c r="K30" s="53">
        <f>IFERROR(J30/'Tasas de Cambio'!$C$5,0)</f>
        <v>1491070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3750.6</v>
      </c>
      <c r="J31" s="52">
        <f t="shared" si="2"/>
        <v>112518</v>
      </c>
      <c r="K31" s="53">
        <f>IFERROR(J31/'Tasas de Cambio'!$C$5,0)</f>
        <v>37506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3.0</v>
      </c>
      <c r="H32" s="51">
        <f>IFERROR(F32*G32,0)</f>
        <v>30.0</v>
      </c>
      <c r="I32" s="51">
        <f t="array" ref="I32">IFERROR(INDEX('Tasas de Cambio'!$E$11:$E$15,MATCH(E32,'Tasas de Cambio'!$B$11:$B$15,0)),0)</f>
        <v>3750.6</v>
      </c>
      <c r="J32" s="52">
        <f>IFERROR(H32*I32,0)</f>
        <v>112518.0</v>
      </c>
      <c r="K32" s="53">
        <f>IFERROR(J32/'Tasas de Cambio'!$C$5,0)</f>
        <v>37506.0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>
        <v>46523.0</v>
      </c>
      <c r="D33" s="32" t="s">
        <v>230</v>
      </c>
      <c r="E33" s="33" t="s">
        <v>12</v>
      </c>
      <c r="F33" s="34">
        <v>25.0</v>
      </c>
      <c r="G33" s="33">
        <v>3.0</v>
      </c>
      <c r="H33" s="51">
        <f t="shared" si="1"/>
        <v>75</v>
      </c>
      <c r="I33" s="51">
        <f t="array" ref="I33">IFERROR(INDEX('Tasas de Cambio'!$E$11:$E$15,MATCH(E33,'Tasas de Cambio'!$B$11:$B$15,0)),0)</f>
        <v>3750.6</v>
      </c>
      <c r="J33" s="52">
        <f t="shared" si="2"/>
        <v>281295</v>
      </c>
      <c r="K33" s="53">
        <f>IFERROR(J33/'Tasas de Cambio'!$C$5,0)</f>
        <v>93765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3.0</v>
      </c>
      <c r="H34" s="51">
        <f>IFERROR(F34*G34,0)</f>
        <v>30.0</v>
      </c>
      <c r="I34" s="51">
        <f t="array" ref="I34">IFERROR(INDEX('Tasas de Cambio'!$E$11:$E$15,MATCH(E34,'Tasas de Cambio'!$B$11:$B$15,0)),0)</f>
        <v>3218.25</v>
      </c>
      <c r="J34" s="52">
        <f>IFERROR(H34*I34,0)</f>
        <v>96547.5</v>
      </c>
      <c r="K34" s="53">
        <f>IFERROR(J34/'Tasas de Cambio'!$C$5,0)</f>
        <v>32182.5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3750.6</v>
      </c>
      <c r="J38" s="52">
        <f>IFERROR(H38*I38,0)</f>
        <v>281295.0</v>
      </c>
      <c r="K38" s="53">
        <f>IFERROR(J38/'Tasas de Cambio'!$C$5,0)</f>
        <v>93765.0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3750.6</v>
      </c>
      <c r="J39" s="52">
        <f>IFERROR(H39*I39,0)</f>
        <v>281295.0</v>
      </c>
      <c r="K39" s="53">
        <f>IFERROR(J39/'Tasas de Cambio'!$C$5,0)</f>
        <v>93765.0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3750.6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3750.6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0.0</v>
      </c>
      <c r="G5" s="33">
        <v>1.0</v>
      </c>
      <c r="H5" s="51">
        <f t="shared" ref="H5:H33" si="1">IFERROR(F5*G5,0)</f>
        <v>0</v>
      </c>
      <c r="I5" s="51">
        <f t="array" ref="I5">IFERROR(INDEX('Tasas de Cambio'!$E$11:$E$15,MATCH(E5,'Tasas de Cambio'!$B$11:$B$15,0)),0)</f>
        <v>3218.25</v>
      </c>
      <c r="J5" s="52">
        <f t="shared" ref="J5:J33" si="2">IFERROR(H5*I5,0)</f>
        <v>0</v>
      </c>
      <c r="K5" s="53">
        <f>IFERROR(J5/2,0)</f>
        <v>0</v>
      </c>
      <c r="L5" s="54" t="s">
        <v>411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2.0</v>
      </c>
      <c r="H6" s="51">
        <f t="shared" si="1"/>
        <v>400.0</v>
      </c>
      <c r="I6" s="51">
        <f t="array" ref="I6">IFERROR(INDEX('Tasas de Cambio'!$E$11:$E$15,MATCH(E6,'Tasas de Cambio'!$B$11:$B$15,0)),0)</f>
        <v>3750.6</v>
      </c>
      <c r="J6" s="52">
        <f t="shared" si="2"/>
        <v>1500240.0</v>
      </c>
      <c r="K6" s="53">
        <f>IFERROR(J6/2,0)</f>
        <v>750120.0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2.0</v>
      </c>
      <c r="H7" s="51">
        <f>IFERROR(F7*G7,0)</f>
        <v>443970.0</v>
      </c>
      <c r="I7" s="51">
        <f t="array" ref="I7">IFERROR(INDEX('Tasas de Cambio'!$E$11:$E$15,MATCH(E7,'Tasas de Cambio'!$B$11:$B$15,0)),0)</f>
        <v>1.0</v>
      </c>
      <c r="J7" s="52">
        <f>IFERROR(H7*I7,0)</f>
        <v>443970.0</v>
      </c>
      <c r="K7" s="53">
        <f>IFERROR(J7/2,0)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2.0</v>
      </c>
      <c r="H8" s="51">
        <f t="shared" si="1"/>
        <v>2982140.0</v>
      </c>
      <c r="I8" s="51">
        <f t="array" ref="I8">IFERROR(INDEX('Tasas de Cambio'!$E$11:$E$15,MATCH(E8,'Tasas de Cambio'!$B$11:$B$15,0)),0)</f>
        <v>1</v>
      </c>
      <c r="J8" s="52">
        <f t="shared" si="2"/>
        <v>2982140.0</v>
      </c>
      <c r="K8" s="53">
        <f>IFERROR(J8/2,0)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0.0</v>
      </c>
      <c r="G9" s="33">
        <v>1.0</v>
      </c>
      <c r="H9" s="51">
        <f>IFERROR(F9*G9,0)</f>
        <v>0</v>
      </c>
      <c r="I9" s="51">
        <f t="array" ref="I9">IFERROR(INDEX('Tasas de Cambio'!$E$11:$E$15,MATCH(E9,'Tasas de Cambio'!$B$11:$B$15,0)),0)</f>
        <v>1.0</v>
      </c>
      <c r="J9" s="52">
        <f>IFERROR(H9*I9,0)</f>
        <v>0</v>
      </c>
      <c r="K9" s="53">
        <f>IFERROR(J9/2,0)</f>
        <v>0</v>
      </c>
      <c r="L9" s="54" t="s">
        <v>411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0.0</v>
      </c>
      <c r="G10" s="33">
        <v>1.0</v>
      </c>
      <c r="H10" s="51">
        <f>IFERROR(F10*G10,0)</f>
        <v>0</v>
      </c>
      <c r="I10" s="51">
        <f t="array" ref="I10">IFERROR(INDEX('Tasas de Cambio'!$E$11:$E$15,MATCH(E10,'Tasas de Cambio'!$B$11:$B$15,0)),0)</f>
        <v>3750.6</v>
      </c>
      <c r="J10" s="52">
        <f>IFERROR(H10*I10,0)</f>
        <v>0</v>
      </c>
      <c r="K10" s="53">
        <f>IFERROR(J10/2,0)</f>
        <v>0</v>
      </c>
      <c r="L10" s="54" t="s">
        <v>411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2.0</v>
      </c>
      <c r="H11" s="51">
        <f t="shared" si="1"/>
        <v>30.0</v>
      </c>
      <c r="I11" s="51">
        <f t="array" ref="I11">IFERROR(INDEX('Tasas de Cambio'!$E$11:$E$15,MATCH(E11,'Tasas de Cambio'!$B$11:$B$15,0)),0)</f>
        <v>3750.6</v>
      </c>
      <c r="J11" s="52">
        <f t="shared" si="2"/>
        <v>112518.0</v>
      </c>
      <c r="K11" s="53">
        <f>IFERROR(J11/2,0)</f>
        <v>56259.0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2.0</v>
      </c>
      <c r="H12" s="51">
        <f>IFERROR(F12*G12,0)</f>
        <v>20.0</v>
      </c>
      <c r="I12" s="51">
        <f t="array" ref="I12">IFERROR(INDEX('Tasas de Cambio'!$E$11:$E$15,MATCH(E12,'Tasas de Cambio'!$B$11:$B$15,0)),0)</f>
        <v>3218.25</v>
      </c>
      <c r="J12" s="52">
        <f>IFERROR(H12*I12,0)</f>
        <v>64365.0</v>
      </c>
      <c r="K12" s="53">
        <f>IFERROR(J12/2,0)</f>
        <v>32182.5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2.0</v>
      </c>
      <c r="H13" s="51">
        <f t="shared" si="1"/>
        <v>60.0</v>
      </c>
      <c r="I13" s="51">
        <f t="array" ref="I13">IFERROR(INDEX('Tasas de Cambio'!$E$11:$E$15,MATCH(E13,'Tasas de Cambio'!$B$11:$B$15,0)),0)</f>
        <v>3750.6</v>
      </c>
      <c r="J13" s="52">
        <f t="shared" si="2"/>
        <v>225036.0</v>
      </c>
      <c r="K13" s="53">
        <f>IFERROR(J13/2,0)</f>
        <v>112518.0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2.0</v>
      </c>
      <c r="H14" s="51">
        <f>IFERROR(F14*G14,0)</f>
        <v>24.0</v>
      </c>
      <c r="I14" s="51">
        <f t="array" ref="I14">IFERROR(INDEX('Tasas de Cambio'!$E$11:$E$15,MATCH(E14,'Tasas de Cambio'!$B$11:$B$15,0)),0)</f>
        <v>3750.6</v>
      </c>
      <c r="J14" s="52">
        <f>IFERROR(H14*I14,0)</f>
        <v>90014.4</v>
      </c>
      <c r="K14" s="53">
        <f>IFERROR(J14/2,0)</f>
        <v>45007.2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0.0</v>
      </c>
      <c r="G15" s="33">
        <v>3.0</v>
      </c>
      <c r="H15" s="51">
        <f>IFERROR(F15*G15,0)</f>
        <v>0</v>
      </c>
      <c r="I15" s="51">
        <f t="array" ref="I15">IFERROR(INDEX('Tasas de Cambio'!$E$11:$E$15,MATCH(E15,'Tasas de Cambio'!$B$11:$B$15,0)),0)</f>
        <v>3218.25</v>
      </c>
      <c r="J15" s="52">
        <f>IFERROR(H15*I15,0)</f>
        <v>0</v>
      </c>
      <c r="K15" s="53">
        <f>IFERROR(J15/2,0)</f>
        <v>0</v>
      </c>
      <c r="L15" s="54" t="s">
        <v>411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0.0</v>
      </c>
      <c r="G16" s="33">
        <v>1.0</v>
      </c>
      <c r="H16" s="51">
        <f t="shared" si="1"/>
        <v>0</v>
      </c>
      <c r="I16" s="51">
        <f t="array" ref="I16">IFERROR(INDEX('Tasas de Cambio'!$E$11:$E$15,MATCH(E16,'Tasas de Cambio'!$B$11:$B$15,0)),0)</f>
        <v>3750.6</v>
      </c>
      <c r="J16" s="52">
        <f t="shared" si="2"/>
        <v>0</v>
      </c>
      <c r="K16" s="53">
        <f>IFERROR(J16/2,0)</f>
        <v>0</v>
      </c>
      <c r="L16" s="54" t="s">
        <v>411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3750.6</v>
      </c>
      <c r="J17" s="52">
        <f t="shared" si="2"/>
        <v>0</v>
      </c>
      <c r="K17" s="53">
        <f>IFERROR(J17/'Tasas de Cambio'!$C$5,0)</f>
        <v>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2.0</v>
      </c>
      <c r="H18" s="51">
        <f t="shared" si="1"/>
        <v>20.0</v>
      </c>
      <c r="I18" s="51">
        <f t="array" ref="I18">IFERROR(INDEX('Tasas de Cambio'!$E$11:$E$15,MATCH(E18,'Tasas de Cambio'!$B$11:$B$15,0)),0)</f>
        <v>3750.6</v>
      </c>
      <c r="J18" s="52">
        <f t="shared" si="2"/>
        <v>75012.0</v>
      </c>
      <c r="K18" s="53">
        <f>IFERROR(J18/2,0)</f>
        <v>37506.0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3750.6</v>
      </c>
      <c r="J19" s="52">
        <f t="shared" si="2"/>
        <v>0</v>
      </c>
      <c r="K19" s="53">
        <f>IFERROR(J19/'Tasas de Cambio'!$C$5,0)</f>
        <v>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2.0</v>
      </c>
      <c r="H20" s="51">
        <f>IFERROR(F20*G20,0)</f>
        <v>140.0</v>
      </c>
      <c r="I20" s="51">
        <f t="array" ref="I20">IFERROR(INDEX('Tasas de Cambio'!$E$11:$E$15,MATCH(E20,'Tasas de Cambio'!$B$11:$B$15,0)),0)</f>
        <v>3218.25</v>
      </c>
      <c r="J20" s="52">
        <f>IFERROR(H20*I20,0)</f>
        <v>450555.0</v>
      </c>
      <c r="K20" s="53">
        <f>IFERROR(J20/2,0)</f>
        <v>225277.5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2.0</v>
      </c>
      <c r="H21" s="51">
        <f t="shared" si="1"/>
        <v>50.0</v>
      </c>
      <c r="I21" s="51">
        <f t="array" ref="I21">IFERROR(INDEX('Tasas de Cambio'!$E$11:$E$15,MATCH(E21,'Tasas de Cambio'!$B$11:$B$15,0)),0)</f>
        <v>3750.6</v>
      </c>
      <c r="J21" s="52">
        <f t="shared" si="2"/>
        <v>187530.0</v>
      </c>
      <c r="K21" s="53">
        <f>IFERROR(J21/2,0)</f>
        <v>93765.0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2.0</v>
      </c>
      <c r="H22" s="51">
        <f>IFERROR(F22*G22,0)</f>
        <v>240.0</v>
      </c>
      <c r="I22" s="51">
        <f t="array" ref="I22">IFERROR(INDEX('Tasas de Cambio'!$E$11:$E$15,MATCH(E22,'Tasas de Cambio'!$B$11:$B$15,0)),0)</f>
        <v>3218.25</v>
      </c>
      <c r="J22" s="52">
        <f>IFERROR(H22*I22,0)</f>
        <v>772380.0</v>
      </c>
      <c r="K22" s="53">
        <f>IFERROR(J22/2,0)</f>
        <v>386190.0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2.0</v>
      </c>
      <c r="H23" s="51">
        <f t="shared" si="1"/>
        <v>50.0</v>
      </c>
      <c r="I23" s="51">
        <f t="array" ref="I23">IFERROR(INDEX('Tasas de Cambio'!$E$11:$E$15,MATCH(E23,'Tasas de Cambio'!$B$11:$B$15,0)),0)</f>
        <v>3750.6</v>
      </c>
      <c r="J23" s="52">
        <f t="shared" si="2"/>
        <v>187530.0</v>
      </c>
      <c r="K23" s="53">
        <f>IFERROR(J23/2,0)</f>
        <v>93765.0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3750.6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155.82</v>
      </c>
      <c r="J25" s="52">
        <f t="shared" si="2"/>
        <v>0</v>
      </c>
      <c r="K25" s="53">
        <f>IFERROR(J25/'Tasas de Cambio'!$C$5,0)</f>
        <v>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2.0</v>
      </c>
      <c r="H26" s="51">
        <f t="shared" si="1"/>
        <v>20.0</v>
      </c>
      <c r="I26" s="51">
        <f t="array" ref="I26">IFERROR(INDEX('Tasas de Cambio'!$E$11:$E$15,MATCH(E26,'Tasas de Cambio'!$B$11:$B$15,0)),0)</f>
        <v>3750.6</v>
      </c>
      <c r="J26" s="52">
        <f t="shared" si="2"/>
        <v>75012.0</v>
      </c>
      <c r="K26" s="53">
        <f>IFERROR(J26/2,0)</f>
        <v>37506.0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0.0</v>
      </c>
      <c r="G27" s="33">
        <v>1.0</v>
      </c>
      <c r="H27" s="51">
        <f>IFERROR(F27*G27,0)</f>
        <v>0</v>
      </c>
      <c r="I27" s="51">
        <f t="array" ref="I27">IFERROR(INDEX('Tasas de Cambio'!$E$11:$E$15,MATCH(E27,'Tasas de Cambio'!$B$11:$B$15,0)),0)</f>
        <v>3750.6</v>
      </c>
      <c r="J27" s="52">
        <f>IFERROR(H27*I27,0)</f>
        <v>0</v>
      </c>
      <c r="K27" s="53">
        <f>IFERROR(J27/2,0)</f>
        <v>0</v>
      </c>
      <c r="L27" s="54" t="s">
        <v>411</v>
      </c>
      <c r="M27" s="1" t="s">
        <v>374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2.0</v>
      </c>
      <c r="H28" s="51">
        <f>IFERROR(F28*G28,0)</f>
        <v>24.0</v>
      </c>
      <c r="I28" s="51">
        <f t="array" ref="I28">IFERROR(INDEX('Tasas de Cambio'!$E$11:$E$15,MATCH(E28,'Tasas de Cambio'!$B$11:$B$15,0)),0)</f>
        <v>3750.6</v>
      </c>
      <c r="J28" s="52">
        <f>IFERROR(H28*I28,0)</f>
        <v>90014.4</v>
      </c>
      <c r="K28" s="53">
        <f>IFERROR(J28/2,0)</f>
        <v>45007.2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2.0</v>
      </c>
      <c r="H29" s="51">
        <f t="shared" si="1"/>
        <v>60.0</v>
      </c>
      <c r="I29" s="51">
        <f t="array" ref="I29">IFERROR(INDEX('Tasas de Cambio'!$E$11:$E$15,MATCH(E29,'Tasas de Cambio'!$B$11:$B$15,0)),0)</f>
        <v>3750.6</v>
      </c>
      <c r="J29" s="52">
        <f t="shared" si="2"/>
        <v>225036.0</v>
      </c>
      <c r="K29" s="53">
        <f>IFERROR(J29/2,0)</f>
        <v>112518.0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2.0</v>
      </c>
      <c r="H30" s="51">
        <f t="shared" si="1"/>
        <v>2982140.0</v>
      </c>
      <c r="I30" s="51">
        <f t="array" ref="I30">IFERROR(INDEX('Tasas de Cambio'!$E$11:$E$15,MATCH(E30,'Tasas de Cambio'!$B$11:$B$15,0)),0)</f>
        <v>1</v>
      </c>
      <c r="J30" s="52">
        <f t="shared" si="2"/>
        <v>2982140.0</v>
      </c>
      <c r="K30" s="53">
        <f>IFERROR(J30/2,0)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0.0</v>
      </c>
      <c r="G31" s="33">
        <v>1.0</v>
      </c>
      <c r="H31" s="51">
        <f t="shared" si="1"/>
        <v>0</v>
      </c>
      <c r="I31" s="51">
        <f t="array" ref="I31">IFERROR(INDEX('Tasas de Cambio'!$E$11:$E$15,MATCH(E31,'Tasas de Cambio'!$B$11:$B$15,0)),0)</f>
        <v>3750.6</v>
      </c>
      <c r="J31" s="52">
        <f t="shared" si="2"/>
        <v>0</v>
      </c>
      <c r="K31" s="53">
        <f>IFERROR(J31/2,0)</f>
        <v>0</v>
      </c>
      <c r="L31" s="54" t="s">
        <v>411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2.0</v>
      </c>
      <c r="H32" s="51">
        <f>IFERROR(F32*G32,0)</f>
        <v>20.0</v>
      </c>
      <c r="I32" s="51">
        <f t="array" ref="I32">IFERROR(INDEX('Tasas de Cambio'!$E$11:$E$15,MATCH(E32,'Tasas de Cambio'!$B$11:$B$15,0)),0)</f>
        <v>3750.6</v>
      </c>
      <c r="J32" s="52">
        <f>IFERROR(H32*I32,0)</f>
        <v>75012.0</v>
      </c>
      <c r="K32" s="53">
        <f>IFERROR(J32/2,0)</f>
        <v>37506.0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>
        <v>46523.0</v>
      </c>
      <c r="D33" s="32" t="s">
        <v>230</v>
      </c>
      <c r="E33" s="33" t="s">
        <v>12</v>
      </c>
      <c r="F33" s="34">
        <v>25.0</v>
      </c>
      <c r="G33" s="33">
        <v>2.0</v>
      </c>
      <c r="H33" s="51">
        <f t="shared" si="1"/>
        <v>50.0</v>
      </c>
      <c r="I33" s="51">
        <f t="array" ref="I33">IFERROR(INDEX('Tasas de Cambio'!$E$11:$E$15,MATCH(E33,'Tasas de Cambio'!$B$11:$B$15,0)),0)</f>
        <v>3750.6</v>
      </c>
      <c r="J33" s="52">
        <f t="shared" si="2"/>
        <v>187530.0</v>
      </c>
      <c r="K33" s="53">
        <f>IFERROR(J33/2,0)</f>
        <v>93765.0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2.0</v>
      </c>
      <c r="H34" s="51">
        <f>IFERROR(F34*G34,0)</f>
        <v>20.0</v>
      </c>
      <c r="I34" s="51">
        <f t="array" ref="I34">IFERROR(INDEX('Tasas de Cambio'!$E$11:$E$15,MATCH(E34,'Tasas de Cambio'!$B$11:$B$15,0)),0)</f>
        <v>3218.25</v>
      </c>
      <c r="J34" s="52">
        <f>IFERROR(H34*I34,0)</f>
        <v>64365.0</v>
      </c>
      <c r="K34" s="53">
        <f>IFERROR(J34/2,0)</f>
        <v>32182.5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2.0</v>
      </c>
      <c r="H38" s="51">
        <f>IFERROR(F38*G38,0)</f>
        <v>50.0</v>
      </c>
      <c r="I38" s="51">
        <f t="array" ref="I38">IFERROR(INDEX('Tasas de Cambio'!$E$11:$E$15,MATCH(E38,'Tasas de Cambio'!$B$11:$B$15,0)),0)</f>
        <v>3750.6</v>
      </c>
      <c r="J38" s="52">
        <f>IFERROR(H38*I38,0)</f>
        <v>187530.0</v>
      </c>
      <c r="K38" s="53">
        <f>IFERROR(J38/2,0)</f>
        <v>93765.0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2.0</v>
      </c>
      <c r="H39" s="51">
        <f>IFERROR(F39*G39,0)</f>
        <v>50.0</v>
      </c>
      <c r="I39" s="51">
        <f t="array" ref="I39">IFERROR(INDEX('Tasas de Cambio'!$E$11:$E$15,MATCH(E39,'Tasas de Cambio'!$B$11:$B$15,0)),0)</f>
        <v>3750.6</v>
      </c>
      <c r="J39" s="52">
        <f>IFERROR(H39*I39,0)</f>
        <v>187530.0</v>
      </c>
      <c r="K39" s="53">
        <f>IFERROR(J39/2,0)</f>
        <v>93765.0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3750.6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3750.6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