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2.xml"/>
  <Override ContentType="application/vnd.openxmlformats-officedocument.drawing+xml" PartName="/xl/drawings/drawing12.xml"/>
  <Override ContentType="application/vnd.openxmlformats-officedocument.spreadsheetml.worksheet+xml" PartName="/xl/worksheets/sheet13.xml"/>
  <Override ContentType="application/vnd.openxmlformats-officedocument.drawing+xml" PartName="/xl/drawings/drawing13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Resumen Comparativo" sheetId="1" r:id="rId5"/>
    <sheet state="hidden" name="Instrucciones" sheetId="2" r:id="rId6"/>
    <sheet state="visible" name="Tasas de Cambio" sheetId="3" r:id="rId7"/>
    <sheet state="visible" name="Cotización" sheetId="4" r:id="rId8"/>
    <sheet state="hidden" name="Resumen" sheetId="5" r:id="rId9"/>
    <sheet state="visible" name="Crucero y Zurich" sheetId="6" r:id="rId10"/>
    <sheet state="hidden" name="Resumen CZ" sheetId="7" r:id="rId11"/>
    <sheet state="visible" name="Opción 4 (Múnich)" sheetId="8" r:id="rId12"/>
    <sheet state="hidden" name="Resumen Opción 4" sheetId="9" r:id="rId13"/>
    <sheet state="visible" name="Crucero" sheetId="10" r:id="rId14"/>
    <sheet state="visible" name="Crucero 2P" sheetId="12" r:id="rId16"/>
    <sheet state="visible" name="Crucero 4P" sheetId="13" r:id="rId17"/>
    <sheet state="hidden" name="Resumen Crucero" sheetId="11" r:id="rId15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<sst xmlns="http://schemas.openxmlformats.org/spreadsheetml/2006/main" count="1580" uniqueCount="455">
  <si>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</si>
  <si>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</si>
  <si>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</si>
  <si>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</si>
  <si>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</si>
  <si>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</si>
  <si>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</si>
  <si>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</si>
  <si>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</si>
  <si>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</si>
  <si>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</si>
  <si>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</si>
  <si>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</si>
  <si>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</si>
  <si>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</si>
  <si>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</si>
  <si>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</si>
  <si>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</si>
  <si>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</si>
  <si>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</si>
  <si>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</si>
  <si>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</si>
  <si>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</si>
  <si>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</si>
  <si>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</si>
  <si>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</si>
  <si>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</si>
  <si>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</si>
  <si>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</si>
  <si>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</si>
  <si>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</si>
  <si>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</si>
  <si>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</si>
  <si>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</si>
  <si>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</si>
  <si>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</si>
  <si>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</si>
  <si>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</si>
  <si>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</si>
  <si>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</si>
  <si>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</si>
  <si>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</si>
  <si>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</si>
  <si>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</si>
  <si>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</si>
  <si>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</si>
  <si>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</si>
  <si>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</si>
  <si>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</si>
  <si>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</si>
  <si>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</si>
  <si>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</si>
  <si>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</si>
  <si>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</si>
  <si>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</si>
  <si>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</si>
  <si>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</si>
  <si>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</si>
  <si>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</si>
  <si>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</si>
  <si>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</si>
  <si>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</si>
  <si>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</si>
  <si>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</si>
  <si>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</si>
  <si>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</si>
  <si>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</si>
  <si>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</si>
  <si>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</si>
  <si>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</si>
  <si>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</si>
  <si>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</si>
  <si>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</si>
  <si>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</si>
  <si>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</si>
  <si>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</si>
  <si>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</si>
  <si>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</si>
  <si>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</si>
  <si>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</si>
  <si>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</si>
  <si>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</si>
  <si>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</si>
  <si>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</si>
  <si>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</si>
  <si>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</si>
  <si>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</si>
  <si>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</si>
  <si>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</si>
  <si>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</si>
  <si>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</si>
  <si>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</si>
  <si>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</si>
  <si>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</si>
  <si>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</si>
  <si>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</si>
  <si>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</si>
  <si>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</si>
  <si>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</si>
  <si>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</si>
  <si>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</si>
  <si>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</si>
  <si>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</si>
  <si>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</si>
  <si>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</si>
  <si>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</si>
  <si>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</si>
  <si>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</si>
  <si>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</si>
  <si>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</si>
  <si>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</si>
  <si>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</si>
  <si>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</si>
  <si>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</si>
  <si>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</si>
  <si>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</si>
  <si>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</si>
  <si>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</si>
  <si>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</si>
  <si>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</si>
  <si>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</si>
  <si>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</si>
  <si>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</si>
  <si>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</si>
  <si>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</si>
  <si>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</si>
  <si>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</si>
  <si>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</si>
  <si>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</si>
  <si>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</si>
  <si>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</si>
  <si>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</si>
  <si>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</si>
  <si>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</si>
  <si>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</si>
  <si>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</si>
  <si>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</si>
  <si>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</si>
  <si>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</si>
  <si>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</si>
  <si>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</si>
  <si>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</si>
  <si>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</si>
  <si>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</si>
  <si>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</si>
  <si>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</si>
  <si>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</si>
  <si>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</si>
  <si>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</si>
  <si>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</si>
  <si>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</si>
  <si>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</si>
  <si>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</si>
  <si>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</si>
  <si>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</si>
  <si>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</si>
  <si>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</si>
  <si>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</si>
  <si>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</si>
  <si>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</si>
  <si>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</si>
  <si>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</si>
  <si>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</si>
  <si>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</si>
  <si>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</si>
  <si>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</si>
  <si>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</si>
  <si>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</si>
  <si>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</si>
  <si>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</si>
  <si>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</si>
  <si>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</si>
  <si>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</si>
  <si>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</si>
  <si>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</si>
  <si>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</si>
  <si>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</si>
  <si>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</si>
  <si>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</si>
  <si>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</si>
  <si>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</si>
  <si>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</si>
  <si>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</si>
  <si>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</si>
  <si>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</si>
  <si>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</si>
  <si>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</si>
  <si>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</si>
  <si>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</si>
  <si>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</si>
  <si>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</si>
  <si>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</si>
  <si>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</si>
  <si>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</si>
  <si>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</si>
  <si>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</si>
  <si>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</si>
  <si>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</si>
  <si>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</si>
  <si>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</si>
  <si>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</si>
  <si>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</si>
  <si>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</si>
  <si>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</si>
  <si>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</si>
  <si>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</si>
  <si>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</si>
  <si>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</si>
  <si>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</si>
  <si>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</si>
  <si>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</si>
  <si>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</si>
  <si>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</si>
  <si>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</si>
  <si>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</si>
  <si>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</si>
  <si>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</si>
  <si>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</si>
  <si>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</si>
  <si>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</si>
  <si>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</si>
  <si>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</si>
  <si>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</si>
  <si>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</si>
  <si>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</si>
  <si>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</si>
  <si>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</si>
  <si>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</si>
  <si>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</si>
  <si>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</si>
  <si>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</si>
  <si>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</si>
  <si>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</si>
  <si>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</si>
  <si>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</si>
  <si>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</si>
  <si>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</si>
  <si>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</si>
  <si>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</si>
  <si>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</si>
  <si>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</si>
  <si>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</si>
  <si>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</si>
  <si>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</si>
  <si>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</si>
  <si>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</si>
  <si>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</si>
  <si>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</si>
  <si>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</si>
  <si>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</si>
  <si>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</si>
  <si>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</si>
  <si>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</si>
  <si>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</si>
  <si>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</si>
  <si>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</si>
  <si>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</si>
  <si>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</si>
  <si>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</si>
  <si>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</si>
  <si>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</si>
  <si>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</si>
  <si>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</si>
  <si>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</si>
  <si>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</si>
  <si>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</si>
  <si>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</si>
  <si>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</si>
  <si>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</si>
  <si>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</si>
  <si>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</si>
  <si>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</si>
  <si>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</si>
  <si>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</si>
  <si>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</si>
  <si>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</si>
  <si>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</si>
  <si>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</si>
  <si>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</si>
  <si>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</si>
  <si>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</si>
  <si>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</si>
  <si>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</si>
  <si>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</si>
  <si>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</si>
  <si>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</si>
  <si>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</si>
  <si>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</si>
  <si>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</si>
  <si>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</si>
  <si>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</si>
  <si>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</si>
  <si>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</si>
  <si>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</si>
  <si>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</si>
  <si>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</si>
  <si>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</si>
  <si>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</si>
  <si>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</si>
  <si>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</si>
  <si>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</si>
  <si>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</si>
  <si>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</si>
  <si>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</si>
  <si>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</si>
  <si>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</si>
  <si>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</si>
  <si>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</si>
  <si>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</si>
  <si>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</si>
  <si>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</si>
  <si>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</si>
  <si>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</si>
  <si>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</si>
  <si>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</si>
  <si>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</si>
  <si>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</si>
  <si>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</si>
  <si>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</si>
  <si>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</si>
  <si>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</si>
  <si>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</si>
  <si>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</si>
  <si>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</si>
  <si>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</si>
  <si>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</si>
  <si>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</si>
  <si>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</si>
  <si>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</si>
  <si>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</si>
  <si>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</si>
  <si>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</si>
  <si>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</si>
  <si>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</si>
  <si>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</si>
  <si>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</si>
  <si>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</si>
  <si>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</si>
  <si>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</si>
  <si>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</si>
  <si>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</si>
  <si>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</si>
  <si>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</si>
  <si>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</si>
  <si>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</si>
  <si>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</si>
  <si>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</si>
  <si>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</si>
  <si>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</si>
  <si>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</si>
  <si>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</si>
  <si>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</si>
  <si>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</si>
  <si>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</si>
  <si>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</si>
  <si>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</si>
  <si>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</si>
  <si>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</si>
  <si>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</si>
  <si>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</si>
  <si>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</si>
  <si>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</si>
  <si>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</si>
  <si>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</si>
  <si>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</si>
  <si>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</si>
  <si>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</si>
  <si>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</si>
  <si>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</si>
  <si>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</si>
  <si>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</si>
  <si>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</si>
  <si>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</si>
  <si>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</si>
  <si>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</si>
  <si>
    <t>Asistencia médica internacional, cobertura USD 60.000 (Cuponatic). https://www.cuponatic.com.co/descuento/asistencia-medica-internacional-cobertura-de-usd-60-000?m=tarjetas-de-asistencia&amp;id_descuento=212587</t>
  </si>
  <si>
    <t>Asistencia médica internacional</t>
  </si>
  <si>
    <t>Sagrada Familia, 2 noches (6-8 may), 3 personas.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</si>
  <si>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Hotel Barcelona — costo total (2 noches, 1 habitación)</t>
  </si>
  <si>
    <t>Hotel Barcelona — costo total (2 noches)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</si>
  <si>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</si>
  <si>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Tour Barcelona Modernista</t>
  </si>
  <si>
    <t>Tour guiado por el Modernismo catalán en Barcelona. https://www.civitatis.com/es/barcelona/tour-barcelona-modernista/</t>
  </si>
  <si>
    <t>Free tour Sagrada Familia</t>
  </si>
  <si>
    <t>Free tour guiado por el exterior de la Sagrada Familia. https://www.civitatis.com/es/barcelona/free-tour-sagrada-familia/</t>
  </si>
  <si>
    <t>Crucero Barcelona-Ravena, 7 noches, incluye propinas. https://www.royalcaribbean.com/lac/es/itinerary/7-night-italy-croatia-cruise-from-barcelona-on-brilliance-BR07M885?sailDate=2027-05-08&amp;packageCode=BR07M885&amp;groupId=BR07BCN-1768961711&amp;country=COL&amp;search=startDate:2027-05-01~2027-05-31</t>
  </si>
  <si>
    <t>Día de navegación</t>
  </si>
  <si>
    <t>Día de navegación, incluido en la tarifa del crucero. https://www.royalcaribbean.com/lac/es/itinerary/7-night-italy-croatia-cruise-from-barcelona-on-brilliance-BR07M885?sailDate=2027-05-08&amp;packageCode=BR07M885&amp;groupId=BR07BCN-1768961711&amp;country=COL&amp;search=startDate:2027-05-01~2027-05-31</t>
  </si>
  <si>
    <t>Comida incluida en el paquete del crucero, sin costo adicional</t>
  </si>
  <si>
    <t>46519.0</t>
  </si>
  <si>
    <t>46521.0</t>
  </si>
  <si>
    <t>Panoramic Pisa</t>
  </si>
  <si>
    <t>Visit to Rome - excursión de un día desde el crucero</t>
  </si>
  <si>
    <t>46517.0</t>
  </si>
  <si>
    <t>46518.0</t>
  </si>
  <si>
    <t>Visit to Rome</t>
  </si>
  <si>
    <t>Excursión panorámica por Pisa desde el crucero. https://www.royalcaribbean.com/account/cruise-planner/category/shorex/product/Y8RO?bookingId=3113096&amp;shipCode=BR&amp;sailDate=20270508</t>
  </si>
  <si>
    <t>Excursión a Roma desde el crucero. https://www.royalcaribbean.com/account/cruise-planner/category/shorex/product/CVS7?bookingId=3113096&amp;shipCode=BR&amp;sailDate=20270508</t>
  </si>
  <si>
    <t>Hotel Zúrich — costo total (5 noches)</t>
  </si>
  <si>
    <t>Hotel Venecia — costo total (1 noche)</t>
  </si>
  <si>
    <t>Free tour Venecia</t>
  </si>
  <si>
    <t>Free tour guiado por el centro histórico de Venecia. https://www.civitatis.com/es/venecia/free-tour-venecia/?_gl=1*1ijxuzi*_up*MQ..*_ga*ODU4MDQyNjAyLjE3ODc4Nzc2ODY.*_ga_QJQ54CTKPM*czE3ODc4Nzc2ODYkbzEkZzEkdDE3ODc4Nzc2OTEkajU1JGwwJGgxNTA2MDA0ODU0</t>
  </si>
  <si>
    <t>Vaporetti ACTV</t>
  </si>
  <si>
    <t>Boletos de vaporetto (transporte acuático) por Venecia. https://book.tickets-venice.com/es/book/8748/select/?_gl=1%2A1073ils%2A_gcl_aw%2AR0NMLjE3ODc4NzgwODMuRUFJYUlRb2JDaE1JaFpPNjdZekNsZ01Wd1lSYUJSM2Y1U1JPRUFBWUF5QUFFZ0tjeFBEX0J3RQ..%2A_gcl_au%2ANzIxMTA1MTQ5LjE3ODc4NzgwODMuLS4tLjE3ODc4NzgwODMuMTE2MDU2ODc1MS4xNzg3ODc4MDg0LjE3ODc4NzgwODM.%2A_ga%2ANDcyOTU3MzYyLjE3ODc4NzgwODM.%2A_ga_Y45PC9R73C%2AczE3ODc4NzgwODMkbzEkZzAkdDE3ODc4NzgwODQkajU5JGwwJGgw&amp;cookieBanner=false&amp;date=2027-05-15&amp;tourId=15560&amp;variantId=15560</t>
  </si>
  <si>
    <t>Traslado puerto → Estación Ravenna</t>
  </si>
  <si>
    <t>46522.0</t>
  </si>
  <si>
    <t>Tren Ravenna - Venecia St Lucia</t>
  </si>
  <si>
    <t>Tren regional desde Ravenna hasta Venecia Santa Lucia</t>
  </si>
  <si>
    <t>Tren regional desde Ravenna hasta Venecia Santa Lucia. https://www.trenitalia.com/en.html</t>
  </si>
  <si>
    <t>46513.0</t>
  </si>
  <si>
    <t>46514.0</t>
  </si>
  <si>
    <t>Pendiente cotizar para 2 personas</t>
  </si>
  <si>
    <t>27/08/2026</t>
  </si>
  <si>
    <t>SIM compartida entre las 2 personas para los 11 días del crucero. https://esim.holafly.com/es/esim-europa/?selectedDays=11&amp;startDate=2027-05-06&amp;endDate=2027-05-16</t>
  </si>
  <si>
    <t>28 ago 2026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</si>
  <si>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9118810_91908190_0_2_0&amp;checkin=2027-05-06&amp;checkout=2027-05-08&amp;dest_id=-372490&amp;dest_type=city&amp;dist=0&amp;group_adults=2&amp;group_children=0&amp;hapos=1&amp;highlighted_blocks=9118810_91908190_0_2_0&amp;hpos=1&amp;matching_block_id=9118810_91908190_0_2_0&amp;no_rooms=1&amp;req_adults=2&amp;req_children=0&amp;room1=A%2CA&amp;sb_price_type=total&amp;sr_order=popularity&amp;sr_pri_blocks=9118810_91908190_0_2_0__32800&amp;srepoch=1787920765&amp;srpvid=c13758fcde590c7a&amp;type=total&amp;ucfs=1</t>
  </si>
  <si>
    <t>46515.0</t>
  </si>
  <si>
    <t>46523.0</t>
  </si>
  <si>
    <t>. https://www.booking.com/hotel/it/alloggi-arlecchino.es.html?aid=304142&amp;label=gen173bo-10CAsocUISYWxsb2dnaS1hcmxlY2NoaW5vSApYA2gyiAEBmAEzuAEHyAEM2AED6AEB-AEBiAIBmAIEqAIBuAKxisbUBsACAdICJDYzYjI0MDkzLWUwMDQtNGE1NS05ZjIwLWYwODllODdiODI1ONgCAeACAQ&amp;sid=f6a1a9bb810c453f7b5f1225205f1f26&amp;all_sr_blocks=466062001_143466186_0_0_0&amp;checkin=2027-05-15&amp;checkout=2027-05-16&amp;dest_id=-132007&amp;dest_type=city&amp;dist=0&amp;group_adults=2&amp;group_children=0&amp;hapos=1&amp;highlighted_blocks=466062001_143466186_0_0_0&amp;hpos=1&amp;matching_block_id=466062001_143466186_0_0_0&amp;no_rooms=1&amp;req_adults=2&amp;req_children=0&amp;room1=A%2CA&amp;sb_price_type=total&amp;sr_order=popularity&amp;sr_pri_blocks=466062001_143466186_0_0_0__29079&amp;srepoch=1787921833&amp;srpvid=be9c5b0e91871d4a&amp;type=total&amp;ucfs=1</t>
  </si>
  <si>
    <t>26 – 27 May (2 días)</t>
  </si>
  <si>
    <t>25 – 27 May (2 noches)</t>
  </si>
  <si>
    <t>Pendiente reconfirmar fecha y tarifa del vuelo de regreso (antes 30 may)</t>
  </si>
  <si>
    <t>Lufthansa, jue 29 abr 23:30 BOG → vie 30 abr 21:40 ZRH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</si>
  <si>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Lufthansa, jue 27 may 11:30 MUC → jue 27 may 18:55 BOG (vía FRA), Economy Light. Total ida+regreso $3.510.000 COP/persona. https://shop.lufthansa.com/booking/cart?cartId=1A57JZ3SOHA482LL&amp;type=cart&amp;shared=true&amp;origin=BOG&amp;utm_source=sharedcart&amp;utm_medium=referral&amp;consent=true</t>
  </si>
  <si>
    <t>Lufthansa · BOG 23:30 → ZRH 21:40 (+1 día) · 1 escala (FRA) · Duración 15h10m · Economy Light</t>
  </si>
  <si>
    <t>Lufthansa · MUC 11:30 → BOG 18:55 · 1 escala (FRA) · Duración 14h25m · Economy Light</t>
  </si>
  <si>
    <t>Lufthansa · BOG 23:30 → ZRH 21:40 (+1 día) · 1 escala (FRA) · Duración 15h10m · Economy Light. https://shop.lufthansa.com/booking/cart?cartId=1A57JZ3SOHA482LL&amp;type=cart&amp;shared=true&amp;origin=BOG&amp;utm_source=sharedcart&amp;utm_medium=referral&amp;consent=true</t>
  </si>
  <si>
    <t>Lufthansa · MUC 11:30 → BOG 18:55 · 1 escala (FRA) · Duración 14h25m · Economy Light. https://shop.lufthansa.com/booking/cart?cartId=1A57JZ3SOHA482LL&amp;type=cart&amp;shared=true&amp;origin=BOG&amp;utm_source=sharedcart&amp;utm_medium=referral&amp;consent=true</t>
  </si>
  <si>
    <t>29 Abr 2027</t>
  </si>
  <si>
    <t>Hotel Zúrich — costo total (3 noches)</t>
  </si>
  <si>
    <t>. https://www.booking.com/hotel/ch/zurich-furnished-homes.es.html?aid=304142&amp;label=gen173bo-10CAsoLEIWenVyaWNoLWZ1cm5pc2hlZC1ob21lc0gKWANoMogBAZgBM7gBB8gBDNgBA-gBAfgBAYgCAZgCBKgCAbgCmZnG1AbAAgHSAiRjODQ2NzZkNy0xNDc3LTQzODMtOTg2Yi0wNjY0OWIwM2UwODTYAgHgAgE&amp;sid=f6a1a9bb810c453f7b5f1225205f1f26&amp;all_sr_blocks=426775604_128924099_0_0_0_285195&amp;checkin=2027-04-30&amp;checkout=2027-05-03&amp;dest_id=-2554935&amp;dest_type=city&amp;dist=0&amp;group_adults=3&amp;group_children=0&amp;hapos=1&amp;highlighted_blocks=426775604_128924099_0_0_0_285195&amp;hpos=1&amp;matching_block_id=426775604_128924099_0_0_0_285195&amp;no_rooms=1&amp;req_adults=3&amp;req_children=0&amp;room1=A%2CA%2CA&amp;sb_price_type=total&amp;sr_order=popularity&amp;sr_pri_blocks=426775604_128924099_0_0_0_285195_31896&amp;srepoch=1787923630&amp;srpvid=e5b15e949e50094e&amp;type=total&amp;ucfs=1</t>
  </si>
  <si>
    <t>Free tour Zúrich</t>
  </si>
  <si>
    <t>Free tour guiado por el centro histórico de Zúrich. https://www.civitatis.com/es/zurich/free-tour-zurich/</t>
  </si>
  <si>
    <t>46509.0</t>
  </si>
  <si>
    <t>Recomendado - tour guiado de día completo desde Zúrich (12h, incl. transporte y entrada Top of Europe). https://www.civitatis.com/es/zurich/excursion-jungfraujoch/</t>
  </si>
  <si>
    <t>Cena</t>
  </si>
  <si>
    <t>Cena de llegada</t>
  </si>
  <si>
    <t>Comida del día (desayuno, almuerzo y cena)</t>
  </si>
  <si>
    <t>Comidas a bordo</t>
  </si>
  <si>
    <t>Incluidas en el vuelo internacional</t>
  </si>
  <si>
    <t>Almuerzo en tierra</t>
  </si>
  <si>
    <t>Desayuno y cena incluidos en el crucero, almuerzo en Pisa/Florencia</t>
  </si>
  <si>
    <t>Desayuno y cena incluidos en el crucero, almuerzo en Roma</t>
  </si>
  <si>
    <t>Incluidas en el crucero (come a bordo)</t>
  </si>
  <si>
    <t>46510.0</t>
  </si>
  <si>
    <t>46511.0</t>
  </si>
  <si>
    <t>46512.0</t>
  </si>
  <si>
    <t>Estimado: ~CHF 70/persona/día (desayuno+almuerzo+cena)</t>
  </si>
  <si>
    <t>Estimado: ~€52/persona/día (desayuno+almuerzo+cena)</t>
  </si>
  <si>
    <t>Desayuno</t>
  </si>
  <si>
    <t>Almuerzo y cena incluidos en el vuelo de regreso (15h, sale 10:55am)</t>
  </si>
  <si>
    <t>Pendiente cotizar para 4 personas</t>
  </si>
  <si>
    <t>SIM compartida entre las 4 personas para los 11 días del crucero. https://esim.holafly.com/es/esim-europa/?selectedDays=11&amp;startDate=2027-05-06&amp;endDate=2027-05-16</t>
  </si>
  <si>
    <t>. https://www.booking.com/hotel/it/la-perla-tolentini-venice.es.html?aid=2311236&amp;label=es-co-booking-desktop-vjGZbEFOhRc3a9njxeT3IwS652829002024%3Apl%3Ata%3Ap1%3Ap2%3Aac%3Aap%3Aneg%3Afi%3Atikwd-65526620%3Alp9246960%3Ali%3Adec%3Adm&amp;sid=f6a1a9bb810c453f7b5f1225205f1f26&amp;all_sr_blocks=1682202104_439951886_4_2_0&amp;checkin=2027-05-15&amp;checkout=2027-05-16&amp;dest_id=-132007&amp;dest_type=city&amp;dist=0&amp;group_adults=4&amp;group_children=0&amp;hapos=2&amp;highlighted_blocks=1682202104_439951886_4_2_0&amp;hpos=2&amp;matching_block_id=1682202104_439951886_4_2_0&amp;no_rooms=1&amp;req_adults=4&amp;req_children=0&amp;room1=A%2CA%2CA%2CA&amp;sb_price_type=total&amp;sr_order=popularity&amp;sr_pri_blocks=1682202104_439951886_4_2_0__21840&amp;srepoch=1787961062&amp;srpvid=4b2da7a784550840&amp;type=total&amp;ucfs=1</t>
  </si>
  <si>
    <t>. https://www.booking.com/hotel/es/hostel-casa-gracia.es.html?aid=2311236&amp;label=es-co-booking-desktop-vjGZbEFOhRc3a9njxeT3IwS652829002024%3Apl%3Ata%3Ap1%3Ap2%3Aac%3Aap%3Aneg%3Afi%3Atikwd-65526620%3Alp9246960%3Ali%3Adec%3Adm&amp;sid=f6a1a9bb810c453f7b5f1225205f1f26&amp;all_sr_blocks=25515454_91915475_0_2_0&amp;checkin=2027-05-06&amp;checkout=2027-05-08&amp;dest_id=-372490&amp;dest_type=city&amp;dist=0&amp;group_adults=4&amp;group_children=0&amp;hapos=3&amp;highlighted_blocks=25515454_91915475_0_2_0&amp;hpos=3&amp;matching_block_id=25515454_91915475_0_2_0&amp;no_rooms=1&amp;req_adults=4&amp;req_children=0&amp;room1=A%2CA%2CA%2CA&amp;sb_price_type=total&amp;sr_order=popularity&amp;sr_pri_blocks=25515454_91915475_0_2_0__40490&amp;srepoch=1787961147&amp;srpvid=a7f6a7cce4750f9a&amp;type=total&amp;ucfs=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</si>
</sst>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412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3629*$E$7</f>
        <v>3810.45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3873*$E$7</f>
        <v>4066.65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150.3*$E$7</f>
        <v>157.82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3115*$E$7</f>
        <v>3270.75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106</v>
      </c>
      <c r="C6" s="30" t="s">
        <v>428</v>
      </c>
      <c r="D6" s="32" t="s">
        <v>108</v>
      </c>
      <c r="E6" s="33" t="s">
        <v>55</v>
      </c>
      <c r="F6" s="34">
        <v>1755000.0</v>
      </c>
      <c r="G6" s="33">
        <v>3.0</v>
      </c>
      <c r="H6" s="51">
        <f>IFERROR(F6*G6,0)</f>
        <v>5265000.0</v>
      </c>
      <c r="I6" s="51">
        <f t="array" ref="I6">IFERROR(INDEX('Tasas de Cambio'!$E$11:$E$15,MATCH(E6,'Tasas de Cambio'!$B$11:$B$15,0)),0)</f>
        <v>1.0</v>
      </c>
      <c r="J6" s="52">
        <f>IFERROR(H6*I6,0)</f>
        <v>5265000.0</v>
      </c>
      <c r="K6" s="53">
        <f>IFERROR(J6/'Tasas de Cambio'!$C$5,0)</f>
        <v>1755000.0</v>
      </c>
      <c r="L6" s="54" t="s">
        <v>426</v>
      </c>
      <c r="M6" s="1" t="s">
        <v>414</v>
      </c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4066.65</v>
      </c>
      <c r="J7" s="52">
        <f t="shared" si="2"/>
        <v>182999.25</v>
      </c>
      <c r="K7" s="53">
        <f>IFERROR(J7/'Tasas de Cambio'!$C$5,0)</f>
        <v>60999.75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429</v>
      </c>
      <c r="E8" s="33" t="s">
        <v>55</v>
      </c>
      <c r="F8" s="34">
        <v>2290000.0</v>
      </c>
      <c r="G8" s="33">
        <v>1.0</v>
      </c>
      <c r="H8" s="51">
        <f>IFERROR(F8*G8,0)</f>
        <v>2290000.0</v>
      </c>
      <c r="I8" s="51">
        <f t="array" ref="I8">IFERROR(INDEX('Tasas de Cambio'!$E$11:$E$15,MATCH(E8,'Tasas de Cambio'!$B$11:$B$15,0)),0)</f>
        <v>1.0</v>
      </c>
      <c r="J8" s="52">
        <f>IFERROR(H8*I8,0)</f>
        <v>2290000.0</v>
      </c>
      <c r="K8" s="53">
        <f>IFERROR(J8/'Tasas de Cambio'!$C$5,0)</f>
        <v>763333.3333333334</v>
      </c>
      <c r="L8" s="54" t="s">
        <v>430</v>
      </c>
      <c r="M8" s="1" t="s">
        <v>414</v>
      </c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3810.45</v>
      </c>
      <c r="J9" s="52">
        <f t="shared" si="2"/>
        <v>2286270.0</v>
      </c>
      <c r="K9" s="53">
        <f>IFERROR(J9/'Tasas de Cambio'!$C$5,0)</f>
        <v>762090.0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3270.75</v>
      </c>
      <c r="J10" s="52">
        <f t="shared" si="2"/>
        <v>176620.5</v>
      </c>
      <c r="K10" s="53">
        <f>IFERROR(J10/'Tasas de Cambio'!$C$5,0)</f>
        <v>58873.5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437</v>
      </c>
      <c r="E11" s="33" t="s">
        <v>17</v>
      </c>
      <c r="F11" s="34">
        <v>70.0</v>
      </c>
      <c r="G11" s="33">
        <v>3.0</v>
      </c>
      <c r="H11" s="51">
        <f>IFERROR(F11*G11,0)</f>
        <v>210.0</v>
      </c>
      <c r="I11" s="51">
        <f t="array" ref="I11">IFERROR(INDEX('Tasas de Cambio'!$E$11:$E$15,MATCH(E11,'Tasas de Cambio'!$B$11:$B$15,0)),0)</f>
        <v>4066.65</v>
      </c>
      <c r="J11" s="52">
        <f>IFERROR(H11*I11,0)</f>
        <v>853996.5</v>
      </c>
      <c r="K11" s="53">
        <f>IFERROR(J11/'Tasas de Cambio'!$C$5,0)</f>
        <v>284665.5</v>
      </c>
      <c r="L11" s="54" t="s">
        <v>123</v>
      </c>
      <c r="M11" s="1" t="s">
        <v>414</v>
      </c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431</v>
      </c>
      <c r="E12" s="33" t="s">
        <v>97</v>
      </c>
      <c r="F12" s="34">
        <v>15.0</v>
      </c>
      <c r="G12" s="33">
        <v>3.0</v>
      </c>
      <c r="H12" s="51">
        <f>IFERROR(F12*G12,0)</f>
        <v>45.0</v>
      </c>
      <c r="I12" s="51">
        <f t="array" ref="I12">IFERROR(INDEX('Tasas de Cambio'!$E$11:$E$15,MATCH(E12,'Tasas de Cambio'!$B$11:$B$15,0)),0)</f>
        <v>3270.75</v>
      </c>
      <c r="J12" s="52">
        <f>IFERROR(H12*I12,0)</f>
        <v>147183.75</v>
      </c>
      <c r="K12" s="53">
        <f>IFERROR(J12/'Tasas de Cambio'!$C$5,0)</f>
        <v>49061.25</v>
      </c>
      <c r="L12" s="54" t="s">
        <v>432</v>
      </c>
      <c r="M12" s="1" t="s">
        <v>414</v>
      </c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362.0</v>
      </c>
      <c r="G13" s="33">
        <v>3.0</v>
      </c>
      <c r="H13" s="51">
        <f>IFERROR(F13*G13,0)</f>
        <v>1086.0</v>
      </c>
      <c r="I13" s="51">
        <f t="array" ref="I13">IFERROR(INDEX('Tasas de Cambio'!$E$11:$E$15,MATCH(E13,'Tasas de Cambio'!$B$11:$B$15,0)),0)</f>
        <v>3270.75</v>
      </c>
      <c r="J13" s="52">
        <f>IFERROR(H13*I13,0)</f>
        <v>3552034.5</v>
      </c>
      <c r="K13" s="53">
        <f>IFERROR(J13/'Tasas de Cambio'!$C$5,0)</f>
        <v>1184011.5</v>
      </c>
      <c r="L13" s="54" t="s">
        <v>434</v>
      </c>
      <c r="M13" s="1" t="s">
        <v>414</v>
      </c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437</v>
      </c>
      <c r="E14" s="33" t="s">
        <v>17</v>
      </c>
      <c r="F14" s="34">
        <v>70.0</v>
      </c>
      <c r="G14" s="33">
        <v>3.0</v>
      </c>
      <c r="H14" s="51">
        <f>IFERROR(F14*G14,0)</f>
        <v>210.0</v>
      </c>
      <c r="I14" s="51">
        <f t="array" ref="I14">IFERROR(INDEX('Tasas de Cambio'!$E$11:$E$15,MATCH(E14,'Tasas de Cambio'!$B$11:$B$15,0)),0)</f>
        <v>4066.65</v>
      </c>
      <c r="J14" s="52">
        <f>IFERROR(H14*I14,0)</f>
        <v>853996.5</v>
      </c>
      <c r="K14" s="53">
        <f>IFERROR(J14/'Tasas de Cambio'!$C$5,0)</f>
        <v>284665.5</v>
      </c>
      <c r="L14" s="54" t="s">
        <v>123</v>
      </c>
      <c r="M14" s="1" t="s">
        <v>414</v>
      </c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3810.45</v>
      </c>
      <c r="J15" s="52">
        <f t="shared" si="2"/>
        <v>857351.25</v>
      </c>
      <c r="K15" s="53">
        <f>IFERROR(J15/'Tasas de Cambio'!$C$5,0)</f>
        <v>285783.75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4066.65</v>
      </c>
      <c r="J16" s="52">
        <f t="shared" si="2"/>
        <v>60999.75</v>
      </c>
      <c r="K16" s="53">
        <f>IFERROR(J16/'Tasas de Cambio'!$C$5,0)</f>
        <v>20333.25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3810.45</v>
      </c>
      <c r="J17" s="52">
        <f t="shared" si="2"/>
        <v>68588.09999999999</v>
      </c>
      <c r="K17" s="53">
        <f>IFERROR(J17/'Tasas de Cambio'!$C$5,0)</f>
        <v>22862.699999999997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3810.45</v>
      </c>
      <c r="J18" s="52">
        <f t="shared" si="2"/>
        <v>1714702.5</v>
      </c>
      <c r="K18" s="53">
        <f>IFERROR(J18/'Tasas de Cambio'!$C$5,0)</f>
        <v>571567.5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437</v>
      </c>
      <c r="E19" s="33" t="s">
        <v>12</v>
      </c>
      <c r="F19" s="34">
        <v>62.0</v>
      </c>
      <c r="G19" s="33">
        <v>3.0</v>
      </c>
      <c r="H19" s="51">
        <f>IFERROR(F19*G19,0)</f>
        <v>186.0</v>
      </c>
      <c r="I19" s="51">
        <f t="array" ref="I19">IFERROR(INDEX('Tasas de Cambio'!$E$11:$E$15,MATCH(E19,'Tasas de Cambio'!$B$11:$B$15,0)),0)</f>
        <v>3810.45</v>
      </c>
      <c r="J19" s="52">
        <f>IFERROR(H19*I19,0)</f>
        <v>708743.7</v>
      </c>
      <c r="K19" s="53">
        <f>IFERROR(J19/'Tasas de Cambio'!$C$5,0)</f>
        <v>236247.9</v>
      </c>
      <c r="L19" s="54" t="s">
        <v>123</v>
      </c>
      <c r="M19" s="1" t="s">
        <v>414</v>
      </c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3810.45</v>
      </c>
      <c r="J20" s="52">
        <f t="shared" si="2"/>
        <v>1257448.5</v>
      </c>
      <c r="K20" s="53">
        <f>IFERROR(J20/'Tasas de Cambio'!$C$5,0)</f>
        <v>419149.5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437</v>
      </c>
      <c r="E21" s="33" t="s">
        <v>12</v>
      </c>
      <c r="F21" s="34">
        <v>62.0</v>
      </c>
      <c r="G21" s="33">
        <v>3.0</v>
      </c>
      <c r="H21" s="51">
        <f>IFERROR(F21*G21,0)</f>
        <v>186.0</v>
      </c>
      <c r="I21" s="51">
        <f t="array" ref="I21">IFERROR(INDEX('Tasas de Cambio'!$E$11:$E$15,MATCH(E21,'Tasas de Cambio'!$B$11:$B$15,0)),0)</f>
        <v>3810.45</v>
      </c>
      <c r="J21" s="52">
        <f>IFERROR(H21*I21,0)</f>
        <v>708743.7</v>
      </c>
      <c r="K21" s="53">
        <f>IFERROR(J21/'Tasas de Cambio'!$C$5,0)</f>
        <v>236247.9</v>
      </c>
      <c r="L21" s="54" t="s">
        <v>123</v>
      </c>
      <c r="M21" s="1" t="s">
        <v>414</v>
      </c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3810.45</v>
      </c>
      <c r="J22" s="52">
        <f t="shared" si="2"/>
        <v>217195.65</v>
      </c>
      <c r="K22" s="53">
        <f>IFERROR(J22/'Tasas de Cambio'!$C$5,0)</f>
        <v>72398.55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437</v>
      </c>
      <c r="E23" s="33" t="s">
        <v>12</v>
      </c>
      <c r="F23" s="34">
        <v>62.0</v>
      </c>
      <c r="G23" s="33">
        <v>3.0</v>
      </c>
      <c r="H23" s="51">
        <f>IFERROR(F23*G23,0)</f>
        <v>186.0</v>
      </c>
      <c r="I23" s="51">
        <f t="array" ref="I23">IFERROR(INDEX('Tasas de Cambio'!$E$11:$E$15,MATCH(E23,'Tasas de Cambio'!$B$11:$B$15,0)),0)</f>
        <v>3810.45</v>
      </c>
      <c r="J23" s="52">
        <f>IFERROR(H23*I23,0)</f>
        <v>708743.7</v>
      </c>
      <c r="K23" s="53">
        <f>IFERROR(J23/'Tasas de Cambio'!$C$5,0)</f>
        <v>236247.9</v>
      </c>
      <c r="L23" s="54" t="s">
        <v>123</v>
      </c>
      <c r="M23" s="1" t="s">
        <v>414</v>
      </c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3810.45</v>
      </c>
      <c r="J24" s="52">
        <f t="shared" si="2"/>
        <v>1486075.5</v>
      </c>
      <c r="K24" s="53">
        <f>IFERROR(J24/'Tasas de Cambio'!$C$5,0)</f>
        <v>495358.5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3810.45</v>
      </c>
      <c r="J25" s="52">
        <f t="shared" si="2"/>
        <v>190522.5</v>
      </c>
      <c r="K25" s="53">
        <f>IFERROR(J25/'Tasas de Cambio'!$C$5,0)</f>
        <v>63507.5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IFERROR(J26/'Tasas de Cambio'!$C$5,0)</f>
        <v>50806.0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3810.45</v>
      </c>
      <c r="J29" s="52">
        <f t="shared" si="2"/>
        <v>137176.19999999998</v>
      </c>
      <c r="K29" s="53">
        <f>IFERROR(J29/'Tasas de Cambio'!$C$5,0)</f>
        <v>45725.399999999994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3270.75</v>
      </c>
      <c r="J30" s="52">
        <f>IFERROR(H30*I30,0)</f>
        <v>98122.5</v>
      </c>
      <c r="K30" s="53">
        <f>IFERROR(J30/'Tasas de Cambio'!$C$5,0)</f>
        <v>32707.5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3810.45</v>
      </c>
      <c r="J32" s="52">
        <f t="shared" si="2"/>
        <v>114313.5</v>
      </c>
      <c r="K32" s="53">
        <f>IFERROR(J32/'Tasas de Cambio'!$C$5,0)</f>
        <v>38104.5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3810.45</v>
      </c>
      <c r="J36" s="52">
        <f>IFERROR(H36*I36,0)</f>
        <v>285783.75</v>
      </c>
      <c r="K36" s="53">
        <f>IFERROR(J36/'Tasas de Cambio'!$C$5,0)</f>
        <v>95261.25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3270.75</v>
      </c>
      <c r="J39" s="52">
        <f>IFERROR(H39*I39,0)</f>
        <v>1177470.0</v>
      </c>
      <c r="K39" s="53">
        <f>IFERROR(J39/'Tasas de Cambio'!$C$5,0)</f>
        <v>392490.0</v>
      </c>
      <c r="L39" s="54" t="s">
        <v>397</v>
      </c>
      <c r="M39" s="1" t="s">
        <v>374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3810.45</v>
      </c>
      <c r="J41" s="52">
        <f t="shared" si="2"/>
        <v>0.0</v>
      </c>
      <c r="K41" s="53">
        <f>IFERROR(J41/'Tasas de Cambio'!$C$5,0)</f>
        <v>0.0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3810.45</v>
      </c>
      <c r="J43" s="52">
        <f>IFERROR(H43*I43,0)</f>
        <v>285783.75</v>
      </c>
      <c r="K43" s="53">
        <f>IFERROR(J43/'Tasas de Cambio'!$C$5,0)</f>
        <v>95261.25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3810.45</v>
      </c>
      <c r="J44" s="52">
        <f>IFERROR(H44*I44,0)</f>
        <v>114313.5</v>
      </c>
      <c r="K44" s="53">
        <f>IFERROR(J44/'Tasas de Cambio'!$C$5,0)</f>
        <v>38104.5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3810.45</v>
      </c>
      <c r="J46" s="52">
        <f>IFERROR(H46*I46,0)</f>
        <v>137176.19999999998</v>
      </c>
      <c r="K46" s="53">
        <f>IFERROR(J46/'Tasas de Cambio'!$C$5,0)</f>
        <v>45725.399999999994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3810.45</v>
      </c>
      <c r="J49" s="52">
        <f t="shared" si="2"/>
        <v>685881.0</v>
      </c>
      <c r="K49" s="53">
        <f>IFERROR(J49/'Tasas de Cambio'!$C$5,0)</f>
        <v>228627.0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3810.45</v>
      </c>
      <c r="J50" s="52">
        <f t="shared" si="2"/>
        <v>76209.0</v>
      </c>
      <c r="K50" s="53">
        <f>IFERROR(J50/'Tasas de Cambio'!$C$5,0)</f>
        <v>25403.0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3810.45</v>
      </c>
      <c r="J51" s="52">
        <f t="shared" si="2"/>
        <v>68588.09999999999</v>
      </c>
      <c r="K51" s="53">
        <f>IFERROR(J51/'Tasas de Cambio'!$C$5,0)</f>
        <v>22862.699999999997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3810.45</v>
      </c>
      <c r="J52" s="52">
        <f t="shared" si="2"/>
        <v>743037.75</v>
      </c>
      <c r="K52" s="53">
        <f>IFERROR(J52/'Tasas de Cambio'!$C$5,0)</f>
        <v>247679.25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3810.45</v>
      </c>
      <c r="J53" s="52">
        <f>IFERROR(H53*I53,0)</f>
        <v>114313.5</v>
      </c>
      <c r="K53" s="53">
        <f>IFERROR(J53/'Tasas de Cambio'!$C$5,0)</f>
        <v>38104.5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437</v>
      </c>
      <c r="E54" s="33" t="s">
        <v>12</v>
      </c>
      <c r="F54" s="34">
        <v>40.0</v>
      </c>
      <c r="G54" s="33">
        <v>3.0</v>
      </c>
      <c r="H54" s="51">
        <f>IFERROR(F54*G54,0)</f>
        <v>120.0</v>
      </c>
      <c r="I54" s="51">
        <f t="array" ref="I54">IFERROR(INDEX('Tasas de Cambio'!$E$11:$E$15,MATCH(E54,'Tasas de Cambio'!$B$11:$B$15,0)),0)</f>
        <v>3810.45</v>
      </c>
      <c r="J54" s="52">
        <f>IFERROR(H54*I54,0)</f>
        <v>457254.0</v>
      </c>
      <c r="K54" s="53">
        <f>IFERROR(J54/'Tasas de Cambio'!$C$5,0)</f>
        <v>152418.0</v>
      </c>
      <c r="L54" s="54" t="s">
        <v>123</v>
      </c>
      <c r="M54" s="1" t="s">
        <v>414</v>
      </c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3810.45</v>
      </c>
      <c r="J55" s="52">
        <f t="shared" si="2"/>
        <v>685881.0</v>
      </c>
      <c r="K55" s="53">
        <f>IFERROR(J55/'Tasas de Cambio'!$C$5,0)</f>
        <v>228627.0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232</v>
      </c>
      <c r="D56" s="32" t="s">
        <v>437</v>
      </c>
      <c r="E56" s="33" t="s">
        <v>12</v>
      </c>
      <c r="F56" s="34">
        <v>57.0</v>
      </c>
      <c r="G56" s="33">
        <v>3.0</v>
      </c>
      <c r="H56" s="51">
        <f>IFERROR(F56*G56,0)</f>
        <v>171.0</v>
      </c>
      <c r="I56" s="51">
        <f t="array" ref="I56">IFERROR(INDEX('Tasas de Cambio'!$E$11:$E$15,MATCH(E56,'Tasas de Cambio'!$B$11:$B$15,0)),0)</f>
        <v>3810.45</v>
      </c>
      <c r="J56" s="52">
        <f>IFERROR(H56*I56,0)</f>
        <v>651586.95</v>
      </c>
      <c r="K56" s="53">
        <f>IFERROR(J56/'Tasas de Cambio'!$C$5,0)</f>
        <v>217195.65</v>
      </c>
      <c r="L56" s="54" t="s">
        <v>123</v>
      </c>
      <c r="M56" s="1" t="s">
        <v>414</v>
      </c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3810.45</v>
      </c>
      <c r="J57" s="52">
        <f t="shared" si="2"/>
        <v>743037.75</v>
      </c>
      <c r="K57" s="53">
        <f>IFERROR(J57/'Tasas de Cambio'!$C$5,0)</f>
        <v>247679.25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3810.45</v>
      </c>
      <c r="J58" s="52">
        <f t="shared" si="2"/>
        <v>914508.0</v>
      </c>
      <c r="K58" s="53">
        <f>IFERROR(J58/'Tasas de Cambio'!$C$5,0)</f>
        <v>304836.0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3810.45</v>
      </c>
      <c r="J59" s="52">
        <f t="shared" si="2"/>
        <v>209574.75</v>
      </c>
      <c r="K59" s="53">
        <f>IFERROR(J59/'Tasas de Cambio'!$C$5,0)</f>
        <v>69858.25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3810.45</v>
      </c>
      <c r="J60" s="52">
        <f t="shared" si="2"/>
        <v>106692.59999999999</v>
      </c>
      <c r="K60" s="53">
        <f>IFERROR(J60/'Tasas de Cambio'!$C$5,0)</f>
        <v>35564.2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157.82</v>
      </c>
      <c r="J61" s="52">
        <f t="shared" si="2"/>
        <v>946920.0</v>
      </c>
      <c r="K61" s="53">
        <f>IFERROR(J61/'Tasas de Cambio'!$C$5,0)</f>
        <v>315640.0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157.82</v>
      </c>
      <c r="J62" s="52">
        <f t="shared" si="2"/>
        <v>544479.0</v>
      </c>
      <c r="K62" s="53">
        <f>IFERROR(J62/'Tasas de Cambio'!$C$5,0)</f>
        <v>181493.0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252</v>
      </c>
      <c r="D63" s="32" t="s">
        <v>437</v>
      </c>
      <c r="E63" s="33" t="s">
        <v>37</v>
      </c>
      <c r="F63" s="34">
        <v>700.0</v>
      </c>
      <c r="G63" s="33">
        <v>3.0</v>
      </c>
      <c r="H63" s="51">
        <f>IFERROR(F63*G63,0)</f>
        <v>2100.0</v>
      </c>
      <c r="I63" s="51">
        <f t="array" ref="I63">IFERROR(INDEX('Tasas de Cambio'!$E$11:$E$15,MATCH(E63,'Tasas de Cambio'!$B$11:$B$15,0)),0)</f>
        <v>157.82</v>
      </c>
      <c r="J63" s="52">
        <f>IFERROR(H63*I63,0)</f>
        <v>331422.0</v>
      </c>
      <c r="K63" s="53">
        <f>IFERROR(J63/'Tasas de Cambio'!$C$5,0)</f>
        <v>110474.0</v>
      </c>
      <c r="L63" s="54" t="s">
        <v>123</v>
      </c>
      <c r="M63" s="1" t="s">
        <v>414</v>
      </c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157.82</v>
      </c>
      <c r="J64" s="52">
        <f t="shared" si="2"/>
        <v>236730.0</v>
      </c>
      <c r="K64" s="53">
        <f>IFERROR(J64/'Tasas de Cambio'!$C$5,0)</f>
        <v>78910.0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3810.45</v>
      </c>
      <c r="J65" s="52">
        <f t="shared" si="2"/>
        <v>457254.0</v>
      </c>
      <c r="K65" s="53">
        <f>IFERROR(J65/'Tasas de Cambio'!$C$5,0)</f>
        <v>152418.0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3810.45</v>
      </c>
      <c r="J66" s="52">
        <f t="shared" si="2"/>
        <v>68588.09999999999</v>
      </c>
      <c r="K66" s="53">
        <f>IFERROR(J66/'Tasas de Cambio'!$C$5,0)</f>
        <v>22862.699999999997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3810.45</v>
      </c>
      <c r="J67" s="52">
        <f t="shared" si="2"/>
        <v>1085978.25</v>
      </c>
      <c r="K67" s="53">
        <f>IFERROR(J67/'Tasas de Cambio'!$C$5,0)</f>
        <v>361992.75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3270.75</v>
      </c>
      <c r="J68" s="52">
        <f t="shared" si="2"/>
        <v>294367.5</v>
      </c>
      <c r="K68" s="53">
        <f>IFERROR(J68/'Tasas de Cambio'!$C$5,0)</f>
        <v>98122.5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271</v>
      </c>
      <c r="D69" s="32" t="s">
        <v>437</v>
      </c>
      <c r="E69" s="33" t="s">
        <v>12</v>
      </c>
      <c r="F69" s="34">
        <v>40.0</v>
      </c>
      <c r="G69" s="33">
        <v>3.0</v>
      </c>
      <c r="H69" s="51">
        <f>IFERROR(F69*G69,0)</f>
        <v>120.0</v>
      </c>
      <c r="I69" s="51">
        <f t="array" ref="I69">IFERROR(INDEX('Tasas de Cambio'!$E$11:$E$15,MATCH(E69,'Tasas de Cambio'!$B$11:$B$15,0)),0)</f>
        <v>3810.45</v>
      </c>
      <c r="J69" s="52">
        <f>IFERROR(H69*I69,0)</f>
        <v>457254.0</v>
      </c>
      <c r="K69" s="53">
        <f>IFERROR(J69/'Tasas de Cambio'!$C$5,0)</f>
        <v>152418.0</v>
      </c>
      <c r="L69" s="54" t="s">
        <v>123</v>
      </c>
      <c r="M69" s="1" t="s">
        <v>414</v>
      </c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3810.45</v>
      </c>
      <c r="J70" s="52">
        <f t="shared" si="2"/>
        <v>342940.5</v>
      </c>
      <c r="K70" s="53">
        <f>IFERROR(J70/'Tasas de Cambio'!$C$5,0)</f>
        <v>114313.5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3810.45</v>
      </c>
      <c r="J71" s="52">
        <f t="shared" si="2"/>
        <v>628724.25</v>
      </c>
      <c r="K71" s="53">
        <f>IFERROR(J71/'Tasas de Cambio'!$C$5,0)</f>
        <v>209574.75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3810.45</v>
      </c>
      <c r="J72" s="52">
        <f t="shared" si="2"/>
        <v>38104.5</v>
      </c>
      <c r="K72" s="53">
        <f>IFERROR(J72/'Tasas de Cambio'!$C$5,0)</f>
        <v>12701.5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420</v>
      </c>
      <c r="D73" s="32" t="s">
        <v>287</v>
      </c>
      <c r="E73" s="33" t="s">
        <v>12</v>
      </c>
      <c r="F73" s="34">
        <v>130.0</v>
      </c>
      <c r="G73" s="33">
        <v>2.0</v>
      </c>
      <c r="H73" s="51">
        <f>IFERROR(F73*G73,0)</f>
        <v>260.0</v>
      </c>
      <c r="I73" s="51">
        <f t="array" ref="I73">IFERROR(INDEX('Tasas de Cambio'!$E$11:$E$15,MATCH(E73,'Tasas de Cambio'!$B$11:$B$15,0)),0)</f>
        <v>3810.45</v>
      </c>
      <c r="J73" s="52">
        <f>IFERROR(H73*I73,0)</f>
        <v>990717.0</v>
      </c>
      <c r="K73" s="53">
        <f>IFERROR(J73/'Tasas de Cambio'!$C$5,0)</f>
        <v>330239.0</v>
      </c>
      <c r="L73" s="54" t="s">
        <v>288</v>
      </c>
      <c r="M73" s="1" t="s">
        <v>414</v>
      </c>
    </row>
    <row r="74" ht="24.0" customHeight="1">
      <c r="A74" s="29" t="s">
        <v>57</v>
      </c>
      <c r="B74" s="29" t="s">
        <v>270</v>
      </c>
      <c r="C74" s="30" t="s">
        <v>280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>IFERROR(F74*G74,0)</f>
        <v>69.0</v>
      </c>
      <c r="I74" s="51">
        <f t="array" ref="I74">IFERROR(INDEX('Tasas de Cambio'!$E$11:$E$15,MATCH(E74,'Tasas de Cambio'!$B$11:$B$15,0)),0)</f>
        <v>3270.75</v>
      </c>
      <c r="J74" s="52">
        <f>IFERROR(H74*I74,0)</f>
        <v>225681.75</v>
      </c>
      <c r="K74" s="53">
        <f>IFERROR(J74/'Tasas de Cambio'!$C$5,0)</f>
        <v>75227.25</v>
      </c>
      <c r="L74" s="54" t="s">
        <v>291</v>
      </c>
      <c r="M74" s="1" t="s">
        <v>414</v>
      </c>
    </row>
    <row r="75" ht="15.75" customHeight="1">
      <c r="A75" s="29" t="s">
        <v>59</v>
      </c>
      <c r="B75" s="29" t="s">
        <v>292</v>
      </c>
      <c r="C75" s="30" t="s">
        <v>289</v>
      </c>
      <c r="D75" s="32" t="s">
        <v>437</v>
      </c>
      <c r="E75" s="33" t="s">
        <v>12</v>
      </c>
      <c r="F75" s="34">
        <v>52.0</v>
      </c>
      <c r="G75" s="33">
        <v>3.0</v>
      </c>
      <c r="H75" s="51">
        <f>IFERROR(F75*G75,0)</f>
        <v>156.0</v>
      </c>
      <c r="I75" s="51">
        <f t="array" ref="I75">IFERROR(INDEX('Tasas de Cambio'!$E$11:$E$15,MATCH(E75,'Tasas de Cambio'!$B$11:$B$15,0)),0)</f>
        <v>3810.45</v>
      </c>
      <c r="J75" s="52">
        <f>IFERROR(H75*I75,0)</f>
        <v>594430.2</v>
      </c>
      <c r="K75" s="53">
        <f>IFERROR(J75/'Tasas de Cambio'!$C$5,0)</f>
        <v>198143.4</v>
      </c>
      <c r="L75" s="54" t="s">
        <v>123</v>
      </c>
      <c r="M75" s="1" t="s">
        <v>414</v>
      </c>
    </row>
    <row r="76" ht="15.75" customHeight="1">
      <c r="A76" s="29" t="s">
        <v>57</v>
      </c>
      <c r="B76" s="29" t="s">
        <v>270</v>
      </c>
      <c r="C76" s="30" t="s">
        <v>289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>IFERROR(F76*G76,0)</f>
        <v>240.0</v>
      </c>
      <c r="I76" s="51">
        <f t="array" ref="I76">IFERROR(INDEX('Tasas de Cambio'!$E$11:$E$15,MATCH(E76,'Tasas de Cambio'!$B$11:$B$15,0)),0)</f>
        <v>3810.45</v>
      </c>
      <c r="J76" s="52">
        <f>IFERROR(H76*I76,0)</f>
        <v>914508.0</v>
      </c>
      <c r="K76" s="53">
        <f>IFERROR(J76/'Tasas de Cambio'!$C$5,0)</f>
        <v>304836.0</v>
      </c>
      <c r="L76" s="54" t="s">
        <v>301</v>
      </c>
      <c r="M76" s="1" t="s">
        <v>414</v>
      </c>
    </row>
    <row r="77" ht="15.75" customHeight="1">
      <c r="A77" s="29"/>
      <c r="B77" s="29"/>
      <c r="C77" s="30"/>
      <c r="D77" s="32"/>
      <c r="E77" s="33"/>
      <c r="F77" s="34"/>
      <c r="G77" s="33"/>
      <c r="H77" s="51"/>
      <c r="I77" s="51"/>
      <c r="J77" s="52"/>
      <c r="K77" s="53"/>
      <c r="L77" s="54"/>
      <c r="M77" s="1"/>
    </row>
    <row r="78" ht="15.75" customHeight="1">
      <c r="A78" s="29" t="s">
        <v>11</v>
      </c>
      <c r="B78" s="29" t="s">
        <v>305</v>
      </c>
      <c r="C78" s="30" t="s">
        <v>295</v>
      </c>
      <c r="D78" s="32" t="s">
        <v>307</v>
      </c>
      <c r="E78" s="33" t="s">
        <v>55</v>
      </c>
      <c r="F78" s="34">
        <v>1755000.0</v>
      </c>
      <c r="G78" s="33">
        <v>3.0</v>
      </c>
      <c r="H78" s="51">
        <f>IFERROR(F78*G78,0)</f>
        <v>5265000.0</v>
      </c>
      <c r="I78" s="51">
        <f t="array" ref="I78">IFERROR(INDEX('Tasas de Cambio'!$E$11:$E$15,MATCH(E78,'Tasas de Cambio'!$B$11:$B$15,0)),0)</f>
        <v>1.0</v>
      </c>
      <c r="J78" s="52">
        <f>IFERROR(H78*I78,0)</f>
        <v>5265000.0</v>
      </c>
      <c r="K78" s="53">
        <f>IFERROR(J78/'Tasas de Cambio'!$C$5,0)</f>
        <v>1755000.0</v>
      </c>
      <c r="L78" s="54" t="s">
        <v>427</v>
      </c>
      <c r="M78" s="1" t="s">
        <v>414</v>
      </c>
    </row>
    <row r="79" ht="15.75" customHeight="1">
      <c r="A79" s="29" t="s">
        <v>14</v>
      </c>
      <c r="B79" s="29" t="s">
        <v>270</v>
      </c>
      <c r="C79" s="30" t="s">
        <v>295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>IFERROR(F79*G79,0)</f>
        <v>75.0</v>
      </c>
      <c r="I79" s="51">
        <f t="array" ref="I79">IFERROR(INDEX('Tasas de Cambio'!$E$11:$E$15,MATCH(E79,'Tasas de Cambio'!$B$11:$B$15,0)),0)</f>
        <v>3810.45</v>
      </c>
      <c r="J79" s="52">
        <f>IFERROR(H79*I79,0)</f>
        <v>285783.75</v>
      </c>
      <c r="K79" s="53">
        <f>IFERROR(J79/'Tasas de Cambio'!$C$5,0)</f>
        <v>95261.25</v>
      </c>
      <c r="L79" s="54" t="s">
        <v>310</v>
      </c>
      <c r="M79" s="1" t="s">
        <v>414</v>
      </c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3270.75</v>
      </c>
      <c r="J80" s="52">
        <f>IFERROR(H80*I80,0)</f>
        <v>98122.5</v>
      </c>
      <c r="K80" s="53">
        <f>IFERROR(J80/'Tasas de Cambio'!$C$5,0)</f>
        <v>32707.5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29" t="s">
        <v>59</v>
      </c>
      <c r="B84" s="29" t="s">
        <v>124</v>
      </c>
      <c r="C84" s="30" t="s">
        <v>107</v>
      </c>
      <c r="D84" s="32" t="s">
        <v>435</v>
      </c>
      <c r="E84" s="33" t="s">
        <v>17</v>
      </c>
      <c r="F84" s="34">
        <v>28.0</v>
      </c>
      <c r="G84" s="33">
        <v>3.0</v>
      </c>
      <c r="H84" s="51">
        <f>IFERROR(F84*G84,0)</f>
        <v>84.0</v>
      </c>
      <c r="I84" s="51">
        <f t="array" ref="I84">IFERROR(INDEX('Tasas de Cambio'!$E$11:$E$15,MATCH(E84,'Tasas de Cambio'!$B$11:$B$15,0)),0)</f>
        <v>4066.65</v>
      </c>
      <c r="J84" s="52">
        <f>IFERROR(H84*I84,0)</f>
        <v>341598.60000000003</v>
      </c>
      <c r="K84" s="53">
        <f>IFERROR(J84/'Tasas de Cambio'!$C$5,0)</f>
        <v>113866.20000000001</v>
      </c>
      <c r="L84" s="54" t="s">
        <v>436</v>
      </c>
      <c r="M84" s="1" t="s">
        <v>414</v>
      </c>
    </row>
    <row r="85" ht="15.75" customHeight="1">
      <c r="A85" s="29" t="s">
        <v>59</v>
      </c>
      <c r="B85" s="29" t="s">
        <v>255</v>
      </c>
      <c r="C85" s="30" t="s">
        <v>240</v>
      </c>
      <c r="D85" s="32" t="s">
        <v>435</v>
      </c>
      <c r="E85" s="33" t="s">
        <v>37</v>
      </c>
      <c r="F85" s="34">
        <v>280.0</v>
      </c>
      <c r="G85" s="33">
        <v>3.0</v>
      </c>
      <c r="H85" s="51">
        <f>IFERROR(F85*G85,0)</f>
        <v>840.0</v>
      </c>
      <c r="I85" s="51">
        <f t="array" ref="I85">IFERROR(INDEX('Tasas de Cambio'!$E$11:$E$15,MATCH(E85,'Tasas de Cambio'!$B$11:$B$15,0)),0)</f>
        <v>157.82</v>
      </c>
      <c r="J85" s="52">
        <f>IFERROR(H85*I85,0)</f>
        <v>132568.8</v>
      </c>
      <c r="K85" s="53">
        <f>IFERROR(J85/'Tasas de Cambio'!$C$5,0)</f>
        <v>44189.6</v>
      </c>
      <c r="L85" s="54" t="s">
        <v>436</v>
      </c>
      <c r="M85" s="1" t="s">
        <v>414</v>
      </c>
    </row>
    <row r="86" ht="15.75" customHeight="1">
      <c r="A86" s="29" t="s">
        <v>59</v>
      </c>
      <c r="B86" s="29" t="s">
        <v>274</v>
      </c>
      <c r="C86" s="30" t="s">
        <v>261</v>
      </c>
      <c r="D86" s="32" t="s">
        <v>435</v>
      </c>
      <c r="E86" s="33" t="s">
        <v>12</v>
      </c>
      <c r="F86" s="34">
        <v>15.0</v>
      </c>
      <c r="G86" s="33">
        <v>3.0</v>
      </c>
      <c r="H86" s="51">
        <f>IFERROR(F86*G86,0)</f>
        <v>45.0</v>
      </c>
      <c r="I86" s="51">
        <f t="array" ref="I86">IFERROR(INDEX('Tasas de Cambio'!$E$11:$E$15,MATCH(E86,'Tasas de Cambio'!$B$11:$B$15,0)),0)</f>
        <v>3810.45</v>
      </c>
      <c r="J86" s="52">
        <f>IFERROR(H86*I86,0)</f>
        <v>171470.25</v>
      </c>
      <c r="K86" s="53">
        <f>IFERROR(J86/'Tasas de Cambio'!$C$5,0)</f>
        <v>57156.75</v>
      </c>
      <c r="L86" s="54" t="s">
        <v>436</v>
      </c>
      <c r="M86" s="1" t="s">
        <v>414</v>
      </c>
    </row>
    <row r="87" ht="15.75" customHeight="1">
      <c r="A87" s="29" t="s">
        <v>59</v>
      </c>
      <c r="B87" s="29" t="s">
        <v>292</v>
      </c>
      <c r="C87" s="30" t="s">
        <v>280</v>
      </c>
      <c r="D87" s="32" t="s">
        <v>435</v>
      </c>
      <c r="E87" s="33" t="s">
        <v>12</v>
      </c>
      <c r="F87" s="34">
        <v>20.0</v>
      </c>
      <c r="G87" s="33">
        <v>3.0</v>
      </c>
      <c r="H87" s="51">
        <f>IFERROR(F87*G87,0)</f>
        <v>60.0</v>
      </c>
      <c r="I87" s="51">
        <f t="array" ref="I87">IFERROR(INDEX('Tasas de Cambio'!$E$11:$E$15,MATCH(E87,'Tasas de Cambio'!$B$11:$B$15,0)),0)</f>
        <v>3810.45</v>
      </c>
      <c r="J87" s="52">
        <f>IFERROR(H87*I87,0)</f>
        <v>228627.0</v>
      </c>
      <c r="K87" s="53">
        <f>IFERROR(J87/'Tasas de Cambio'!$C$5,0)</f>
        <v>76209.0</v>
      </c>
      <c r="L87" s="54" t="s">
        <v>436</v>
      </c>
      <c r="M87" s="1" t="s">
        <v>414</v>
      </c>
    </row>
    <row r="88" ht="15.75" customHeight="1">
      <c r="A88" s="29" t="s">
        <v>59</v>
      </c>
      <c r="B88" s="29" t="s">
        <v>231</v>
      </c>
      <c r="C88" s="30" t="s">
        <v>236</v>
      </c>
      <c r="D88" s="32" t="s">
        <v>437</v>
      </c>
      <c r="E88" s="33" t="s">
        <v>12</v>
      </c>
      <c r="F88" s="34">
        <v>57.0</v>
      </c>
      <c r="G88" s="33">
        <v>3.0</v>
      </c>
      <c r="H88" s="51">
        <f>IFERROR(F88*G88,0)</f>
        <v>171.0</v>
      </c>
      <c r="I88" s="51">
        <f t="array" ref="I88">IFERROR(INDEX('Tasas de Cambio'!$E$11:$E$15,MATCH(E88,'Tasas de Cambio'!$B$11:$B$15,0)),0)</f>
        <v>3810.45</v>
      </c>
      <c r="J88" s="52">
        <f>IFERROR(H88*I88,0)</f>
        <v>651586.95</v>
      </c>
      <c r="K88" s="53">
        <f>IFERROR(J88/'Tasas de Cambio'!$C$5,0)</f>
        <v>217195.65</v>
      </c>
      <c r="L88" s="54" t="s">
        <v>123</v>
      </c>
      <c r="M88" s="1" t="s">
        <v>414</v>
      </c>
    </row>
    <row r="89" ht="15.75" customHeight="1">
      <c r="A89" s="29" t="s">
        <v>59</v>
      </c>
      <c r="B89" s="29" t="s">
        <v>255</v>
      </c>
      <c r="C89" s="30" t="s">
        <v>257</v>
      </c>
      <c r="D89" s="32" t="s">
        <v>437</v>
      </c>
      <c r="E89" s="33" t="s">
        <v>37</v>
      </c>
      <c r="F89" s="34">
        <v>700.0</v>
      </c>
      <c r="G89" s="33">
        <v>3.0</v>
      </c>
      <c r="H89" s="51">
        <f>IFERROR(F89*G89,0)</f>
        <v>2100.0</v>
      </c>
      <c r="I89" s="51">
        <f t="array" ref="I89">IFERROR(INDEX('Tasas de Cambio'!$E$11:$E$15,MATCH(E89,'Tasas de Cambio'!$B$11:$B$15,0)),0)</f>
        <v>157.82</v>
      </c>
      <c r="J89" s="52">
        <f>IFERROR(H89*I89,0)</f>
        <v>331422.0</v>
      </c>
      <c r="K89" s="53">
        <f>IFERROR(J89/'Tasas de Cambio'!$C$5,0)</f>
        <v>110474.0</v>
      </c>
      <c r="L89" s="54" t="s">
        <v>123</v>
      </c>
      <c r="M89" s="1" t="s">
        <v>414</v>
      </c>
    </row>
    <row r="90" ht="15.75" customHeight="1">
      <c r="A90" s="29" t="s">
        <v>59</v>
      </c>
      <c r="B90" s="29" t="s">
        <v>274</v>
      </c>
      <c r="C90" s="30" t="s">
        <v>277</v>
      </c>
      <c r="D90" s="32" t="s">
        <v>437</v>
      </c>
      <c r="E90" s="33" t="s">
        <v>12</v>
      </c>
      <c r="F90" s="34">
        <v>40.0</v>
      </c>
      <c r="G90" s="33">
        <v>3.0</v>
      </c>
      <c r="H90" s="51">
        <f>IFERROR(F90*G90,0)</f>
        <v>120.0</v>
      </c>
      <c r="I90" s="51">
        <f t="array" ref="I90">IFERROR(INDEX('Tasas de Cambio'!$E$11:$E$15,MATCH(E90,'Tasas de Cambio'!$B$11:$B$15,0)),0)</f>
        <v>3810.45</v>
      </c>
      <c r="J90" s="52">
        <f>IFERROR(H90*I90,0)</f>
        <v>457254.0</v>
      </c>
      <c r="K90" s="53">
        <f>IFERROR(J90/'Tasas de Cambio'!$C$5,0)</f>
        <v>152418.0</v>
      </c>
      <c r="L90" s="54" t="s">
        <v>123</v>
      </c>
      <c r="M90" s="1" t="s">
        <v>414</v>
      </c>
    </row>
    <row r="91" ht="15.75" customHeight="1">
      <c r="A91" s="29" t="s">
        <v>59</v>
      </c>
      <c r="B91" s="29" t="s">
        <v>292</v>
      </c>
      <c r="C91" s="30" t="s">
        <v>295</v>
      </c>
      <c r="D91" s="32" t="s">
        <v>437</v>
      </c>
      <c r="E91" s="33" t="s">
        <v>12</v>
      </c>
      <c r="F91" s="34">
        <v>52.0</v>
      </c>
      <c r="G91" s="33">
        <v>3.0</v>
      </c>
      <c r="H91" s="51">
        <f>IFERROR(F91*G91,0)</f>
        <v>156.0</v>
      </c>
      <c r="I91" s="51">
        <f t="array" ref="I91">IFERROR(INDEX('Tasas de Cambio'!$E$11:$E$15,MATCH(E91,'Tasas de Cambio'!$B$11:$B$15,0)),0)</f>
        <v>3810.45</v>
      </c>
      <c r="J91" s="52">
        <f>IFERROR(H91*I91,0)</f>
        <v>594430.2</v>
      </c>
      <c r="K91" s="53">
        <f>IFERROR(J91/'Tasas de Cambio'!$C$5,0)</f>
        <v>198143.4</v>
      </c>
      <c r="L91" s="54" t="s">
        <v>123</v>
      </c>
      <c r="M91" s="1" t="s">
        <v>414</v>
      </c>
    </row>
    <row r="92" ht="15.75" customHeight="1">
      <c r="A92" s="29" t="s">
        <v>59</v>
      </c>
      <c r="B92" s="29" t="s">
        <v>117</v>
      </c>
      <c r="C92" s="30" t="s">
        <v>428</v>
      </c>
      <c r="D92" s="32" t="s">
        <v>438</v>
      </c>
      <c r="E92" s="33" t="s">
        <v>55</v>
      </c>
      <c r="F92" s="34">
        <v>0.0</v>
      </c>
      <c r="G92" s="33">
        <v>1.0</v>
      </c>
      <c r="H92" s="51">
        <f>IFERROR(F92*G92,0)</f>
        <v>0.0</v>
      </c>
      <c r="I92" s="51">
        <f t="array" ref="I92">IFERROR(INDEX('Tasas de Cambio'!$E$11:$E$15,MATCH(E92,'Tasas de Cambio'!$B$11:$B$15,0)),0)</f>
        <v>1.0</v>
      </c>
      <c r="J92" s="52">
        <f>IFERROR(H92*I92,0)</f>
        <v>0.0</v>
      </c>
      <c r="K92" s="53">
        <f>IFERROR(J92/'Tasas de Cambio'!$C$5,0)</f>
        <v>0.0</v>
      </c>
      <c r="L92" s="54" t="s">
        <v>439</v>
      </c>
      <c r="M92" s="1" t="s">
        <v>414</v>
      </c>
    </row>
    <row r="93" ht="15.75" customHeight="1">
      <c r="A93" s="29" t="s">
        <v>59</v>
      </c>
      <c r="B93" s="29" t="s">
        <v>191</v>
      </c>
      <c r="C93" s="30" t="s">
        <v>192</v>
      </c>
      <c r="D93" s="32" t="s">
        <v>443</v>
      </c>
      <c r="E93" s="33" t="s">
        <v>55</v>
      </c>
      <c r="F93" s="34">
        <v>0.0</v>
      </c>
      <c r="G93" s="33">
        <v>1.0</v>
      </c>
      <c r="H93" s="51">
        <f>IFERROR(F93*G93,0)</f>
        <v>0.0</v>
      </c>
      <c r="I93" s="51">
        <f t="array" ref="I93">IFERROR(INDEX('Tasas de Cambio'!$E$11:$E$15,MATCH(E93,'Tasas de Cambio'!$B$11:$B$15,0)),0)</f>
        <v>1.0</v>
      </c>
      <c r="J93" s="52">
        <f>IFERROR(H93*I93,0)</f>
        <v>0.0</v>
      </c>
      <c r="K93" s="53">
        <f>IFERROR(J93/'Tasas de Cambio'!$C$5,0)</f>
        <v>0.0</v>
      </c>
      <c r="L93" s="54" t="s">
        <v>123</v>
      </c>
      <c r="M93" s="1" t="s">
        <v>414</v>
      </c>
    </row>
    <row r="94" ht="15.75" customHeight="1">
      <c r="A94" s="29" t="s">
        <v>59</v>
      </c>
      <c r="B94" s="29" t="s">
        <v>191</v>
      </c>
      <c r="C94" s="30" t="s">
        <v>205</v>
      </c>
      <c r="D94" s="32" t="s">
        <v>443</v>
      </c>
      <c r="E94" s="33" t="s">
        <v>55</v>
      </c>
      <c r="F94" s="34">
        <v>0.0</v>
      </c>
      <c r="G94" s="33">
        <v>1.0</v>
      </c>
      <c r="H94" s="51">
        <f>IFERROR(F94*G94,0)</f>
        <v>0.0</v>
      </c>
      <c r="I94" s="51">
        <f t="array" ref="I94">IFERROR(INDEX('Tasas de Cambio'!$E$11:$E$15,MATCH(E94,'Tasas de Cambio'!$B$11:$B$15,0)),0)</f>
        <v>1.0</v>
      </c>
      <c r="J94" s="52">
        <f>IFERROR(H94*I94,0)</f>
        <v>0.0</v>
      </c>
      <c r="K94" s="53">
        <f>IFERROR(J94/'Tasas de Cambio'!$C$5,0)</f>
        <v>0.0</v>
      </c>
      <c r="L94" s="54" t="s">
        <v>123</v>
      </c>
      <c r="M94" s="1" t="s">
        <v>414</v>
      </c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4066.65</v>
      </c>
      <c r="J13" s="52">
        <f t="shared" si="2"/>
        <v>182999.25</v>
      </c>
      <c r="K13" s="53">
        <f>IFERROR(J13/'Tasas de Cambio'!$C$5,0)</f>
        <v>60999.75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398</v>
      </c>
      <c r="E14" s="33" t="s">
        <v>17</v>
      </c>
      <c r="F14" s="34">
        <v>900.0</v>
      </c>
      <c r="G14" s="33">
        <v>1.0</v>
      </c>
      <c r="H14" s="51">
        <f>IFERROR(F14*G14,0)</f>
        <v>900.0</v>
      </c>
      <c r="I14" s="51">
        <f t="array" ref="I14">IFERROR(INDEX('Tasas de Cambio'!$E$11:$E$15,MATCH(E14,'Tasas de Cambio'!$B$11:$B$15,0)),0)</f>
        <v>4066.65</v>
      </c>
      <c r="J14" s="52">
        <f>IFERROR(H14*I14,0)</f>
        <v>3659985.0</v>
      </c>
      <c r="K14" s="53">
        <f>IFERROR(J14/'Tasas de Cambio'!$C$5,0)</f>
        <v>1219995.0</v>
      </c>
      <c r="L14" s="54" t="s">
        <v>123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3270.75</v>
      </c>
      <c r="J16" s="52">
        <f t="shared" si="2"/>
        <v>883102.5</v>
      </c>
      <c r="K16" s="53">
        <f>IFERROR(J16/'Tasas de Cambio'!$C$5,0)</f>
        <v>294367.5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 t="s">
        <v>433</v>
      </c>
      <c r="D17" s="32" t="s">
        <v>131</v>
      </c>
      <c r="E17" s="33" t="s">
        <v>97</v>
      </c>
      <c r="F17" s="34">
        <v>362.0</v>
      </c>
      <c r="G17" s="33">
        <v>3.0</v>
      </c>
      <c r="H17" s="51">
        <f>IFERROR(F17*G17,0)</f>
        <v>1086.0</v>
      </c>
      <c r="I17" s="51">
        <f t="array" ref="I17">IFERROR(INDEX('Tasas de Cambio'!$E$11:$E$15,MATCH(E17,'Tasas de Cambio'!$B$11:$B$15,0)),0)</f>
        <v>3270.75</v>
      </c>
      <c r="J17" s="52">
        <f>IFERROR(H17*I17,0)</f>
        <v>3552034.5</v>
      </c>
      <c r="K17" s="53">
        <f>IFERROR(J17/'Tasas de Cambio'!$C$5,0)</f>
        <v>1184011.5</v>
      </c>
      <c r="L17" s="54" t="s">
        <v>434</v>
      </c>
      <c r="M17" s="1" t="s">
        <v>414</v>
      </c>
    </row>
    <row r="18" ht="30.0" customHeight="1">
      <c r="A18" s="29" t="s">
        <v>59</v>
      </c>
      <c r="B18" s="29" t="s">
        <v>124</v>
      </c>
      <c r="C18" s="30" t="s">
        <v>433</v>
      </c>
      <c r="D18" s="32" t="s">
        <v>437</v>
      </c>
      <c r="E18" s="33" t="s">
        <v>17</v>
      </c>
      <c r="F18" s="34">
        <v>70.0</v>
      </c>
      <c r="G18" s="33">
        <v>3.0</v>
      </c>
      <c r="H18" s="51">
        <f>IFERROR(F18*G18,0)</f>
        <v>210.0</v>
      </c>
      <c r="I18" s="51">
        <f t="array" ref="I18">IFERROR(INDEX('Tasas de Cambio'!$E$11:$E$15,MATCH(E18,'Tasas de Cambio'!$B$11:$B$15,0)),0)</f>
        <v>4066.65</v>
      </c>
      <c r="J18" s="52">
        <f>IFERROR(H18*I18,0)</f>
        <v>853996.5</v>
      </c>
      <c r="K18" s="53">
        <f>IFERROR(J18/'Tasas de Cambio'!$C$5,0)</f>
        <v>284665.5</v>
      </c>
      <c r="L18" s="54" t="s">
        <v>447</v>
      </c>
      <c r="M18" s="1" t="s">
        <v>414</v>
      </c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3270.75</v>
      </c>
      <c r="J19" s="52">
        <f t="shared" si="2"/>
        <v>1471837.5</v>
      </c>
      <c r="K19" s="53">
        <f>IFERROR(J19/'Tasas de Cambio'!$C$5,0)</f>
        <v>490612.5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 t="s">
        <v>444</v>
      </c>
      <c r="D20" s="32" t="s">
        <v>437</v>
      </c>
      <c r="E20" s="33" t="s">
        <v>17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4066.65</v>
      </c>
      <c r="J20" s="52">
        <f>IFERROR(H20*I20,0)</f>
        <v>853996.5</v>
      </c>
      <c r="K20" s="53">
        <f>IFERROR(J20/'Tasas de Cambio'!$C$5,0)</f>
        <v>284665.5</v>
      </c>
      <c r="L20" s="54" t="s">
        <v>447</v>
      </c>
      <c r="M20" s="1" t="s">
        <v>414</v>
      </c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3270.75</v>
      </c>
      <c r="J21" s="52">
        <f t="shared" si="2"/>
        <v>1354090.5</v>
      </c>
      <c r="K21" s="53">
        <f>IFERROR(J21/'Tasas de Cambio'!$C$5,0)</f>
        <v>451363.5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 t="s">
        <v>445</v>
      </c>
      <c r="D22" s="32" t="s">
        <v>437</v>
      </c>
      <c r="E22" s="33" t="s">
        <v>17</v>
      </c>
      <c r="F22" s="34">
        <v>70.0</v>
      </c>
      <c r="G22" s="33">
        <v>3.0</v>
      </c>
      <c r="H22" s="51">
        <f>IFERROR(F22*G22,0)</f>
        <v>210.0</v>
      </c>
      <c r="I22" s="51">
        <f t="array" ref="I22">IFERROR(INDEX('Tasas de Cambio'!$E$11:$E$15,MATCH(E22,'Tasas de Cambio'!$B$11:$B$15,0)),0)</f>
        <v>4066.65</v>
      </c>
      <c r="J22" s="52">
        <f>IFERROR(H22*I22,0)</f>
        <v>853996.5</v>
      </c>
      <c r="K22" s="53">
        <f>IFERROR(J22/'Tasas de Cambio'!$C$5,0)</f>
        <v>284665.5</v>
      </c>
      <c r="L22" s="54" t="s">
        <v>447</v>
      </c>
      <c r="M22" s="1" t="s">
        <v>414</v>
      </c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3270.75</v>
      </c>
      <c r="J23" s="52">
        <f t="shared" si="2"/>
        <v>686857.5</v>
      </c>
      <c r="K23" s="53">
        <f>IFERROR(J23/'Tasas de Cambio'!$C$5,0)</f>
        <v>228952.5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 t="s">
        <v>446</v>
      </c>
      <c r="D24" s="32" t="s">
        <v>437</v>
      </c>
      <c r="E24" s="33" t="s">
        <v>17</v>
      </c>
      <c r="F24" s="34">
        <v>70.0</v>
      </c>
      <c r="G24" s="33">
        <v>3.0</v>
      </c>
      <c r="H24" s="51">
        <f>IFERROR(F24*G24,0)</f>
        <v>210.0</v>
      </c>
      <c r="I24" s="51">
        <f t="array" ref="I24">IFERROR(INDEX('Tasas de Cambio'!$E$11:$E$15,MATCH(E24,'Tasas de Cambio'!$B$11:$B$15,0)),0)</f>
        <v>4066.65</v>
      </c>
      <c r="J24" s="52">
        <f>IFERROR(H24*I24,0)</f>
        <v>853996.5</v>
      </c>
      <c r="K24" s="53">
        <f>IFERROR(J24/'Tasas de Cambio'!$C$5,0)</f>
        <v>284665.5</v>
      </c>
      <c r="L24" s="54" t="s">
        <v>447</v>
      </c>
      <c r="M24" s="1" t="s">
        <v>414</v>
      </c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379</v>
      </c>
      <c r="E25" s="33" t="s">
        <v>55</v>
      </c>
      <c r="F25" s="34">
        <v>1900000.0</v>
      </c>
      <c r="G25" s="33">
        <v>1.0</v>
      </c>
      <c r="H25" s="51">
        <f>IFERROR(F25*G25,0)</f>
        <v>1900000.0</v>
      </c>
      <c r="I25" s="51">
        <f t="array" ref="I25">IFERROR(INDEX('Tasas de Cambio'!$E$11:$E$15,MATCH(E25,'Tasas de Cambio'!$B$11:$B$15,0)),0)</f>
        <v>1.0</v>
      </c>
      <c r="J25" s="52">
        <f>IFERROR(H25*I25,0)</f>
        <v>1900000.0</v>
      </c>
      <c r="K25" s="53">
        <f>IFERROR(J25/'Tasas de Cambio'!$C$5,0)</f>
        <v>633333.3333333334</v>
      </c>
      <c r="L25" s="54" t="s">
        <v>380</v>
      </c>
      <c r="M25" s="1" t="s">
        <v>374</v>
      </c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4066.65</v>
      </c>
      <c r="J26" s="52">
        <f t="shared" si="2"/>
        <v>3306186.45</v>
      </c>
      <c r="K26" s="53">
        <f>IFERROR(J26/'Tasas de Cambio'!$C$5,0)</f>
        <v>1102062.1500000001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4066.65</v>
      </c>
      <c r="J27" s="52">
        <f t="shared" si="2"/>
        <v>182999.25</v>
      </c>
      <c r="K27" s="53">
        <f>IFERROR(J27/'Tasas de Cambio'!$C$5,0)</f>
        <v>60999.75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 t="s">
        <v>409</v>
      </c>
      <c r="D28" s="32" t="s">
        <v>160</v>
      </c>
      <c r="E28" s="33" t="s">
        <v>12</v>
      </c>
      <c r="F28" s="34">
        <v>40.0</v>
      </c>
      <c r="G28" s="33">
        <v>1.0</v>
      </c>
      <c r="H28" s="51">
        <f>IFERROR(F28*G28,0)</f>
        <v>40.0</v>
      </c>
      <c r="I28" s="51">
        <f t="array" ref="I28">IFERROR(INDEX('Tasas de Cambio'!$E$11:$E$15,MATCH(E28,'Tasas de Cambio'!$B$11:$B$15,0)),0)</f>
        <v>3810.45</v>
      </c>
      <c r="J28" s="52">
        <f>IFERROR(H28*I28,0)</f>
        <v>152418.0</v>
      </c>
      <c r="K28" s="53">
        <f>IFERROR(J28/'Tasas de Cambio'!$C$5,0)</f>
        <v>50806.0</v>
      </c>
      <c r="L28" s="54" t="s">
        <v>123</v>
      </c>
      <c r="M28" s="1" t="s">
        <v>374</v>
      </c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3810.45</v>
      </c>
      <c r="J29" s="52">
        <f t="shared" si="2"/>
        <v>171470.25</v>
      </c>
      <c r="K29" s="53">
        <f>IFERROR(J29/'Tasas de Cambio'!$C$5,0)</f>
        <v>57156.75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11</v>
      </c>
      <c r="B30" s="29" t="s">
        <v>209</v>
      </c>
      <c r="C30" s="30" t="s">
        <v>210</v>
      </c>
      <c r="D30" s="32" t="s">
        <v>406</v>
      </c>
      <c r="E30" s="33" t="s">
        <v>12</v>
      </c>
      <c r="F30" s="34">
        <v>25.0</v>
      </c>
      <c r="G30" s="33">
        <v>3.0</v>
      </c>
      <c r="H30" s="51">
        <f>IFERROR(F30*G30,0)</f>
        <v>75.0</v>
      </c>
      <c r="I30" s="51">
        <f t="array" ref="I30">IFERROR(INDEX('Tasas de Cambio'!$E$11:$E$15,MATCH(E30,'Tasas de Cambio'!$B$11:$B$15,0)),0)</f>
        <v>3810.45</v>
      </c>
      <c r="J30" s="52">
        <f>IFERROR(H30*I30,0)</f>
        <v>285783.75</v>
      </c>
      <c r="K30" s="53">
        <f>IFERROR(J30/'Tasas de Cambio'!$C$5,0)</f>
        <v>95261.25</v>
      </c>
      <c r="L30" s="54" t="s">
        <v>408</v>
      </c>
      <c r="M30" s="1" t="s">
        <v>374</v>
      </c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 t="s">
        <v>410</v>
      </c>
      <c r="D32" s="32" t="s">
        <v>174</v>
      </c>
      <c r="E32" s="33" t="s">
        <v>12</v>
      </c>
      <c r="F32" s="34">
        <v>12.0</v>
      </c>
      <c r="G32" s="33">
        <v>3.0</v>
      </c>
      <c r="H32" s="51">
        <f>IFERROR(F32*G32,0)</f>
        <v>36.0</v>
      </c>
      <c r="I32" s="51">
        <f t="array" ref="I32">IFERROR(INDEX('Tasas de Cambio'!$E$11:$E$15,MATCH(E32,'Tasas de Cambio'!$B$11:$B$15,0)),0)</f>
        <v>3810.45</v>
      </c>
      <c r="J32" s="52">
        <f>IFERROR(H32*I32,0)</f>
        <v>137176.19999999998</v>
      </c>
      <c r="K32" s="53">
        <f>IFERROR(J32/'Tasas de Cambio'!$C$5,0)</f>
        <v>45725.399999999994</v>
      </c>
      <c r="L32" s="54" t="s">
        <v>123</v>
      </c>
      <c r="M32" s="1" t="s">
        <v>374</v>
      </c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3810.45</v>
      </c>
      <c r="J34" s="52">
        <f t="shared" si="2"/>
        <v>114313.5</v>
      </c>
      <c r="K34" s="53">
        <f>IFERROR(J34/'Tasas de Cambio'!$C$5,0)</f>
        <v>38104.5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3810.45</v>
      </c>
      <c r="J35" s="52">
        <f t="shared" si="2"/>
        <v>0.0</v>
      </c>
      <c r="K35" s="53">
        <f>IFERROR(J35/'Tasas de Cambio'!$C$5,0)</f>
        <v>0.0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3810.45</v>
      </c>
      <c r="J36" s="52">
        <f t="shared" si="2"/>
        <v>114313.5</v>
      </c>
      <c r="K36" s="53">
        <f>IFERROR(J36/'Tasas de Cambio'!$C$5,0)</f>
        <v>38104.5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3810.45</v>
      </c>
      <c r="J37" s="52">
        <f t="shared" si="2"/>
        <v>0.0</v>
      </c>
      <c r="K37" s="53">
        <f>IFERROR(J37/'Tasas de Cambio'!$C$5,0)</f>
        <v>0.0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 t="s">
        <v>393</v>
      </c>
      <c r="D38" s="32" t="s">
        <v>391</v>
      </c>
      <c r="E38" s="33" t="s">
        <v>97</v>
      </c>
      <c r="F38" s="34">
        <v>70.0</v>
      </c>
      <c r="G38" s="33">
        <v>3.0</v>
      </c>
      <c r="H38" s="51">
        <f>IFERROR(F38*G38,0)</f>
        <v>210.0</v>
      </c>
      <c r="I38" s="51">
        <f t="array" ref="I38">IFERROR(INDEX('Tasas de Cambio'!$E$11:$E$15,MATCH(E38,'Tasas de Cambio'!$B$11:$B$15,0)),0)</f>
        <v>3270.75</v>
      </c>
      <c r="J38" s="52">
        <f>IFERROR(H38*I38,0)</f>
        <v>686857.5</v>
      </c>
      <c r="K38" s="53">
        <f>IFERROR(J38/'Tasas de Cambio'!$C$5,0)</f>
        <v>228952.5</v>
      </c>
      <c r="L38" s="54" t="s">
        <v>396</v>
      </c>
      <c r="M38" s="1" t="s">
        <v>374</v>
      </c>
    </row>
    <row r="39" ht="30.0" customHeight="1">
      <c r="A39" s="29" t="s">
        <v>59</v>
      </c>
      <c r="B39" s="29" t="s">
        <v>194</v>
      </c>
      <c r="C39" s="30" t="s">
        <v>393</v>
      </c>
      <c r="D39" s="32" t="s">
        <v>440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441</v>
      </c>
      <c r="M39" s="1" t="s">
        <v>414</v>
      </c>
    </row>
    <row r="40" ht="30.0" customHeight="1">
      <c r="A40" s="29" t="s">
        <v>57</v>
      </c>
      <c r="B40" s="29" t="s">
        <v>198</v>
      </c>
      <c r="C40" s="30" t="s">
        <v>394</v>
      </c>
      <c r="D40" s="32" t="s">
        <v>395</v>
      </c>
      <c r="E40" s="33" t="s">
        <v>97</v>
      </c>
      <c r="F40" s="34">
        <v>120.0</v>
      </c>
      <c r="G40" s="33">
        <v>3.0</v>
      </c>
      <c r="H40" s="51">
        <f>IFERROR(F40*G40,0)</f>
        <v>360.0</v>
      </c>
      <c r="I40" s="51">
        <f t="array" ref="I40">IFERROR(INDEX('Tasas de Cambio'!$E$11:$E$15,MATCH(E40,'Tasas de Cambio'!$B$11:$B$15,0)),0)</f>
        <v>3270.75</v>
      </c>
      <c r="J40" s="52">
        <f>IFERROR(H40*I40,0)</f>
        <v>1177470.0</v>
      </c>
      <c r="K40" s="53">
        <f>IFERROR(J40/'Tasas de Cambio'!$C$5,0)</f>
        <v>392490.0</v>
      </c>
      <c r="L40" s="54" t="s">
        <v>397</v>
      </c>
      <c r="M40" s="1" t="s">
        <v>374</v>
      </c>
    </row>
    <row r="41" ht="30.0" customHeight="1">
      <c r="A41" s="29" t="s">
        <v>59</v>
      </c>
      <c r="B41" s="29" t="s">
        <v>198</v>
      </c>
      <c r="C41" s="30" t="s">
        <v>394</v>
      </c>
      <c r="D41" s="32" t="s">
        <v>440</v>
      </c>
      <c r="E41" s="33" t="s">
        <v>12</v>
      </c>
      <c r="F41" s="34">
        <v>25.0</v>
      </c>
      <c r="G41" s="33">
        <v>3.0</v>
      </c>
      <c r="H41" s="51">
        <f>IFERROR(F41*G41,0)</f>
        <v>75.0</v>
      </c>
      <c r="I41" s="51">
        <f t="array" ref="I41">IFERROR(INDEX('Tasas de Cambio'!$E$11:$E$15,MATCH(E41,'Tasas de Cambio'!$B$11:$B$15,0)),0)</f>
        <v>3810.45</v>
      </c>
      <c r="J41" s="52">
        <f>IFERROR(H41*I41,0)</f>
        <v>285783.75</v>
      </c>
      <c r="K41" s="53">
        <f>IFERROR(J41/'Tasas de Cambio'!$C$5,0)</f>
        <v>95261.25</v>
      </c>
      <c r="L41" s="54" t="s">
        <v>442</v>
      </c>
      <c r="M41" s="1" t="s">
        <v>414</v>
      </c>
    </row>
    <row r="42" ht="30.0" customHeight="1">
      <c r="A42" s="29" t="s">
        <v>57</v>
      </c>
      <c r="B42" s="29" t="s">
        <v>201</v>
      </c>
      <c r="C42" s="30" t="s">
        <v>389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123</v>
      </c>
      <c r="M42" s="1" t="s">
        <v>374</v>
      </c>
    </row>
    <row r="43" ht="30.0" customHeight="1">
      <c r="A43" s="29" t="s">
        <v>59</v>
      </c>
      <c r="B43" s="29" t="s">
        <v>201</v>
      </c>
      <c r="C43" s="30" t="s">
        <v>389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>IFERROR(F43*G43,0)</f>
        <v>0.0</v>
      </c>
      <c r="I43" s="51">
        <f t="array" ref="I43">IFERROR(INDEX('Tasas de Cambio'!$E$11:$E$15,MATCH(E43,'Tasas de Cambio'!$B$11:$B$15,0)),0)</f>
        <v>3810.45</v>
      </c>
      <c r="J43" s="52">
        <f>IFERROR(H43*I43,0)</f>
        <v>0.0</v>
      </c>
      <c r="K43" s="53">
        <f>IFERROR(J43/'Tasas de Cambio'!$C$5,0)</f>
        <v>0.0</v>
      </c>
      <c r="L43" s="54" t="s">
        <v>388</v>
      </c>
      <c r="M43" s="1" t="s">
        <v>374</v>
      </c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157.82</v>
      </c>
      <c r="J44" s="52">
        <f t="shared" si="2"/>
        <v>0.0</v>
      </c>
      <c r="K44" s="53">
        <f>IFERROR(J44/'Tasas de Cambio'!$C$5,0)</f>
        <v>0.0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3810.45</v>
      </c>
      <c r="J45" s="52">
        <f t="shared" si="2"/>
        <v>114313.5</v>
      </c>
      <c r="K45" s="53">
        <f>IFERROR(J45/'Tasas de Cambio'!$C$5,0)</f>
        <v>38104.5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 t="s">
        <v>390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>IFERROR(F46*G46,0)</f>
        <v>0.0</v>
      </c>
      <c r="I46" s="51">
        <f t="array" ref="I46">IFERROR(INDEX('Tasas de Cambio'!$E$11:$E$15,MATCH(E46,'Tasas de Cambio'!$B$11:$B$15,0)),0)</f>
        <v>3810.45</v>
      </c>
      <c r="J46" s="52">
        <f>IFERROR(H46*I46,0)</f>
        <v>0.0</v>
      </c>
      <c r="K46" s="53">
        <f>IFERROR(J46/'Tasas de Cambio'!$C$5,0)</f>
        <v>0.0</v>
      </c>
      <c r="L46" s="54" t="s">
        <v>388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414</v>
      </c>
    </row>
    <row r="48" ht="30.0" customHeight="1">
      <c r="A48" s="29" t="s">
        <v>14</v>
      </c>
      <c r="B48" s="29" t="s">
        <v>209</v>
      </c>
      <c r="C48" s="30" t="s">
        <v>405</v>
      </c>
      <c r="D48" s="32" t="s">
        <v>404</v>
      </c>
      <c r="E48" s="33" t="s">
        <v>12</v>
      </c>
      <c r="F48" s="34">
        <v>12.0</v>
      </c>
      <c r="G48" s="33">
        <v>3.0</v>
      </c>
      <c r="H48" s="51">
        <f>IFERROR(F48*G48,0)</f>
        <v>36.0</v>
      </c>
      <c r="I48" s="51">
        <f t="array" ref="I48">IFERROR(INDEX('Tasas de Cambio'!$E$11:$E$15,MATCH(E48,'Tasas de Cambio'!$B$11:$B$15,0)),0)</f>
        <v>3810.45</v>
      </c>
      <c r="J48" s="52">
        <f>IFERROR(H48*I48,0)</f>
        <v>137176.19999999998</v>
      </c>
      <c r="K48" s="53">
        <f>IFERROR(J48/'Tasas de Cambio'!$C$5,0)</f>
        <v>45725.399999999994</v>
      </c>
      <c r="L48" s="54" t="s">
        <v>123</v>
      </c>
      <c r="M48" s="1" t="s">
        <v>374</v>
      </c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3810.45</v>
      </c>
      <c r="J49" s="52">
        <f t="shared" si="2"/>
        <v>342940.5</v>
      </c>
      <c r="K49" s="53">
        <f>IFERROR(J49/'Tasas de Cambio'!$C$5,0)</f>
        <v>114313.5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3810.45</v>
      </c>
      <c r="J51" s="52">
        <f t="shared" si="2"/>
        <v>114313.5</v>
      </c>
      <c r="K51" s="53">
        <f>IFERROR(J51/'Tasas de Cambio'!$C$5,0)</f>
        <v>38104.5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 t="s">
        <v>210</v>
      </c>
      <c r="D52" s="32" t="s">
        <v>400</v>
      </c>
      <c r="E52" s="33" t="s">
        <v>12</v>
      </c>
      <c r="F52" s="34">
        <v>10.0</v>
      </c>
      <c r="G52" s="33">
        <v>3.0</v>
      </c>
      <c r="H52" s="51">
        <f>IFERROR(F52*G52,0)</f>
        <v>30.0</v>
      </c>
      <c r="I52" s="51">
        <f t="array" ref="I52">IFERROR(INDEX('Tasas de Cambio'!$E$11:$E$15,MATCH(E52,'Tasas de Cambio'!$B$11:$B$15,0)),0)</f>
        <v>3810.45</v>
      </c>
      <c r="J52" s="52">
        <f>IFERROR(H52*I52,0)</f>
        <v>114313.5</v>
      </c>
      <c r="K52" s="53">
        <f>IFERROR(J52/'Tasas de Cambio'!$C$5,0)</f>
        <v>38104.5</v>
      </c>
      <c r="L52" s="54" t="s">
        <v>401</v>
      </c>
      <c r="M52" s="1" t="s">
        <v>374</v>
      </c>
    </row>
    <row r="53" ht="30.0" customHeight="1">
      <c r="A53" s="29" t="s">
        <v>59</v>
      </c>
      <c r="B53" s="29" t="s">
        <v>228</v>
      </c>
      <c r="C53" s="30" t="s">
        <v>417</v>
      </c>
      <c r="D53" s="32" t="s">
        <v>449</v>
      </c>
      <c r="E53" s="33" t="s">
        <v>12</v>
      </c>
      <c r="F53" s="34">
        <v>12.0</v>
      </c>
      <c r="G53" s="33">
        <v>3.0</v>
      </c>
      <c r="H53" s="51">
        <f>IFERROR(F53*G53,0)</f>
        <v>36.0</v>
      </c>
      <c r="I53" s="51">
        <f t="array" ref="I53">IFERROR(INDEX('Tasas de Cambio'!$E$11:$E$15,MATCH(E53,'Tasas de Cambio'!$B$11:$B$15,0)),0)</f>
        <v>3810.45</v>
      </c>
      <c r="J53" s="52">
        <f>IFERROR(H53*I53,0)</f>
        <v>137176.19999999998</v>
      </c>
      <c r="K53" s="53">
        <f>IFERROR(J53/'Tasas de Cambio'!$C$5,0)</f>
        <v>45725.399999999994</v>
      </c>
      <c r="L53" s="54" t="s">
        <v>450</v>
      </c>
      <c r="M53" s="1" t="s">
        <v>414</v>
      </c>
    </row>
    <row r="54" ht="30.0" customHeight="1">
      <c r="A54" s="29" t="s">
        <v>59</v>
      </c>
      <c r="B54" s="29" t="s">
        <v>117</v>
      </c>
      <c r="C54" s="30" t="s">
        <v>107</v>
      </c>
      <c r="D54" s="32" t="s">
        <v>438</v>
      </c>
      <c r="E54" s="33" t="s">
        <v>55</v>
      </c>
      <c r="F54" s="34">
        <v>0.0</v>
      </c>
      <c r="G54" s="33">
        <v>1.0</v>
      </c>
      <c r="H54" s="51">
        <f>IFERROR(F54*G54,0)</f>
        <v>0.0</v>
      </c>
      <c r="I54" s="51">
        <f t="array" ref="I54">IFERROR(INDEX('Tasas de Cambio'!$E$11:$E$15,MATCH(E54,'Tasas de Cambio'!$B$11:$B$15,0)),0)</f>
        <v>1.0</v>
      </c>
      <c r="J54" s="52">
        <f>IFERROR(H54*I54,0)</f>
        <v>0.0</v>
      </c>
      <c r="K54" s="53">
        <f>IFERROR(J54/'Tasas de Cambio'!$C$5,0)</f>
        <v>0.0</v>
      </c>
      <c r="L54" s="54" t="s">
        <v>439</v>
      </c>
      <c r="M54" s="1" t="s">
        <v>414</v>
      </c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29" t="s">
        <v>59</v>
      </c>
      <c r="B56" s="29" t="s">
        <v>191</v>
      </c>
      <c r="C56" s="30" t="s">
        <v>192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191</v>
      </c>
      <c r="C57" s="30" t="s">
        <v>205</v>
      </c>
      <c r="D57" s="32" t="s">
        <v>443</v>
      </c>
      <c r="E57" s="33" t="s">
        <v>55</v>
      </c>
      <c r="F57" s="34">
        <v>0.0</v>
      </c>
      <c r="G57" s="33">
        <v>1.0</v>
      </c>
      <c r="H57" s="51">
        <f>IFERROR(F57*G57,0)</f>
        <v>0.0</v>
      </c>
      <c r="I57" s="51">
        <f t="array" ref="I57">IFERROR(INDEX('Tasas de Cambio'!$E$11:$E$15,MATCH(E57,'Tasas de Cambio'!$B$11:$B$15,0)),0)</f>
        <v>1.0</v>
      </c>
      <c r="J57" s="52">
        <f>IFERROR(H57*I57,0)</f>
        <v>0.0</v>
      </c>
      <c r="K57" s="53">
        <f>IFERROR(J57/'Tasas de Cambio'!$C$5,0)</f>
        <v>0.0</v>
      </c>
      <c r="L57" s="54" t="s">
        <v>123</v>
      </c>
      <c r="M57" s="1" t="s">
        <v>414</v>
      </c>
    </row>
    <row r="58" ht="15.75" customHeight="1">
      <c r="A58" s="29" t="s">
        <v>59</v>
      </c>
      <c r="B58" s="29" t="s">
        <v>124</v>
      </c>
      <c r="C58" s="30" t="s">
        <v>125</v>
      </c>
      <c r="D58" s="32" t="s">
        <v>435</v>
      </c>
      <c r="E58" s="33" t="s">
        <v>17</v>
      </c>
      <c r="F58" s="34">
        <v>28.0</v>
      </c>
      <c r="G58" s="33">
        <v>3.0</v>
      </c>
      <c r="H58" s="51">
        <f>IFERROR(F58*G58,0)</f>
        <v>84.0</v>
      </c>
      <c r="I58" s="51">
        <f t="array" ref="I58">IFERROR(INDEX('Tasas de Cambio'!$E$11:$E$15,MATCH(E58,'Tasas de Cambio'!$B$11:$B$15,0)),0)</f>
        <v>4066.65</v>
      </c>
      <c r="J58" s="52">
        <f>IFERROR(H58*I58,0)</f>
        <v>341598.60000000003</v>
      </c>
      <c r="K58" s="53">
        <f>IFERROR(J58/'Tasas de Cambio'!$C$5,0)</f>
        <v>113866.20000000001</v>
      </c>
      <c r="L58" s="54" t="s">
        <v>436</v>
      </c>
      <c r="M58" s="1" t="s">
        <v>414</v>
      </c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3810.45</v>
      </c>
      <c r="J13" s="52">
        <f t="shared" si="2"/>
        <v>285783.75</v>
      </c>
      <c r="K13" s="53">
        <f>IFERROR(J13/'Tasas de Cambio'!$C$5,0)</f>
        <v>95261.25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287</v>
      </c>
      <c r="E14" s="33" t="s">
        <v>12</v>
      </c>
      <c r="F14" s="34">
        <v>130.0</v>
      </c>
      <c r="G14" s="33">
        <v>5.0</v>
      </c>
      <c r="H14" s="51">
        <f>IFERROR(F14*G14,0)</f>
        <v>650.0</v>
      </c>
      <c r="I14" s="51">
        <f t="array" ref="I14">IFERROR(INDEX('Tasas de Cambio'!$E$11:$E$15,MATCH(E14,'Tasas de Cambio'!$B$11:$B$15,0)),0)</f>
        <v>3810.45</v>
      </c>
      <c r="J14" s="52">
        <f>IFERROR(H14*I14,0)</f>
        <v>2476792.5</v>
      </c>
      <c r="K14" s="53">
        <f>IFERROR(J14/'Tasas de Cambio'!$C$5,0)</f>
        <v>825597.5</v>
      </c>
      <c r="L14" s="54" t="s">
        <v>347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3270.75</v>
      </c>
      <c r="J17" s="52">
        <f t="shared" si="2"/>
        <v>225681.75</v>
      </c>
      <c r="K17" s="53">
        <f>IFERROR(J17/'Tasas de Cambio'!$C$5,0)</f>
        <v>75227.25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 t="s">
        <v>433</v>
      </c>
      <c r="D18" s="32" t="s">
        <v>437</v>
      </c>
      <c r="E18" s="33" t="s">
        <v>12</v>
      </c>
      <c r="F18" s="34">
        <v>52.0</v>
      </c>
      <c r="G18" s="33">
        <v>3.0</v>
      </c>
      <c r="H18" s="51">
        <f>IFERROR(F18*G18,0)</f>
        <v>156.0</v>
      </c>
      <c r="I18" s="51">
        <f t="array" ref="I18">IFERROR(INDEX('Tasas de Cambio'!$E$11:$E$15,MATCH(E18,'Tasas de Cambio'!$B$11:$B$15,0)),0)</f>
        <v>3810.45</v>
      </c>
      <c r="J18" s="52">
        <f>IFERROR(H18*I18,0)</f>
        <v>594430.2</v>
      </c>
      <c r="K18" s="53">
        <f>IFERROR(J18/'Tasas de Cambio'!$C$5,0)</f>
        <v>198143.4</v>
      </c>
      <c r="L18" s="54" t="s">
        <v>448</v>
      </c>
      <c r="M18" s="1" t="s">
        <v>414</v>
      </c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3810.45</v>
      </c>
      <c r="J19" s="52">
        <f t="shared" si="2"/>
        <v>971664.75</v>
      </c>
      <c r="K19" s="53">
        <f>IFERROR(J19/'Tasas de Cambio'!$C$5,0)</f>
        <v>323888.25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 t="s">
        <v>444</v>
      </c>
      <c r="D20" s="32" t="s">
        <v>437</v>
      </c>
      <c r="E20" s="33" t="s">
        <v>12</v>
      </c>
      <c r="F20" s="34">
        <v>52.0</v>
      </c>
      <c r="G20" s="33">
        <v>3.0</v>
      </c>
      <c r="H20" s="51">
        <f>IFERROR(F20*G20,0)</f>
        <v>156.0</v>
      </c>
      <c r="I20" s="51">
        <f t="array" ref="I20">IFERROR(INDEX('Tasas de Cambio'!$E$11:$E$15,MATCH(E20,'Tasas de Cambio'!$B$11:$B$15,0)),0)</f>
        <v>3810.45</v>
      </c>
      <c r="J20" s="52">
        <f>IFERROR(H20*I20,0)</f>
        <v>594430.2</v>
      </c>
      <c r="K20" s="53">
        <f>IFERROR(J20/'Tasas de Cambio'!$C$5,0)</f>
        <v>198143.4</v>
      </c>
      <c r="L20" s="54" t="s">
        <v>448</v>
      </c>
      <c r="M20" s="1" t="s">
        <v>414</v>
      </c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 t="s">
        <v>445</v>
      </c>
      <c r="D22" s="32" t="s">
        <v>437</v>
      </c>
      <c r="E22" s="33" t="s">
        <v>12</v>
      </c>
      <c r="F22" s="34">
        <v>52.0</v>
      </c>
      <c r="G22" s="33">
        <v>3.0</v>
      </c>
      <c r="H22" s="51">
        <f>IFERROR(F22*G22,0)</f>
        <v>156.0</v>
      </c>
      <c r="I22" s="51">
        <f t="array" ref="I22">IFERROR(INDEX('Tasas de Cambio'!$E$11:$E$15,MATCH(E22,'Tasas de Cambio'!$B$11:$B$15,0)),0)</f>
        <v>3810.45</v>
      </c>
      <c r="J22" s="52">
        <f>IFERROR(H22*I22,0)</f>
        <v>594430.2</v>
      </c>
      <c r="K22" s="53">
        <f>IFERROR(J22/'Tasas de Cambio'!$C$5,0)</f>
        <v>198143.4</v>
      </c>
      <c r="L22" s="54" t="s">
        <v>448</v>
      </c>
      <c r="M22" s="1" t="s">
        <v>414</v>
      </c>
    </row>
    <row r="23" ht="15.75" customHeight="1">
      <c r="A23" s="29" t="s">
        <v>59</v>
      </c>
      <c r="B23" s="29" t="s">
        <v>292</v>
      </c>
      <c r="C23" s="30" t="s">
        <v>446</v>
      </c>
      <c r="D23" s="32" t="s">
        <v>437</v>
      </c>
      <c r="E23" s="33" t="s">
        <v>12</v>
      </c>
      <c r="F23" s="34">
        <v>52.0</v>
      </c>
      <c r="G23" s="33">
        <v>3.0</v>
      </c>
      <c r="H23" s="51">
        <f>IFERROR(F23*G23,0)</f>
        <v>156.0</v>
      </c>
      <c r="I23" s="51">
        <f t="array" ref="I23">IFERROR(INDEX('Tasas de Cambio'!$E$11:$E$15,MATCH(E23,'Tasas de Cambio'!$B$11:$B$15,0)),0)</f>
        <v>3810.45</v>
      </c>
      <c r="J23" s="52">
        <f>IFERROR(H23*I23,0)</f>
        <v>594430.2</v>
      </c>
      <c r="K23" s="53">
        <f>IFERROR(J23/'Tasas de Cambio'!$C$5,0)</f>
        <v>198143.4</v>
      </c>
      <c r="L23" s="54" t="s">
        <v>448</v>
      </c>
      <c r="M23" s="1" t="s">
        <v>414</v>
      </c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3810.45</v>
      </c>
      <c r="J25" s="52">
        <f t="shared" si="2"/>
        <v>1794379.0095</v>
      </c>
      <c r="K25" s="53">
        <f>IFERROR(J25/'Tasas de Cambio'!$C$5,0)</f>
        <v>598126.3365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3810.45</v>
      </c>
      <c r="J26" s="52">
        <f t="shared" si="2"/>
        <v>285783.75</v>
      </c>
      <c r="K26" s="53">
        <f>IFERROR(J26/'Tasas de Cambio'!$C$5,0)</f>
        <v>95261.25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152418.0</v>
      </c>
      <c r="K27" s="53">
        <f>IFERROR(J27/'Tasas de Cambio'!$C$5,0)</f>
        <v>50806.0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3810.45</v>
      </c>
      <c r="J29" s="52">
        <f>IFERROR(H29*I29,0)</f>
        <v>285783.75</v>
      </c>
      <c r="K29" s="53">
        <f>IFERROR(J29/'Tasas de Cambio'!$C$5,0)</f>
        <v>95261.25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3810.45</v>
      </c>
      <c r="J30" s="52">
        <f t="shared" si="2"/>
        <v>342940.5</v>
      </c>
      <c r="K30" s="53">
        <f>IFERROR(J30/'Tasas de Cambio'!$C$5,0)</f>
        <v>114313.5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3810.45</v>
      </c>
      <c r="J31" s="52">
        <f>IFERROR(H31*I31,0)</f>
        <v>137176.19999999998</v>
      </c>
      <c r="K31" s="53">
        <f>IFERROR(J31/'Tasas de Cambio'!$C$5,0)</f>
        <v>45725.399999999994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3270.75</v>
      </c>
      <c r="J32" s="52">
        <f>IFERROR(H32*I32,0)</f>
        <v>6574207.5</v>
      </c>
      <c r="K32" s="53">
        <f>IFERROR(J32/'Tasas de Cambio'!$C$5,0)</f>
        <v>2191402.5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3810.45</v>
      </c>
      <c r="J33" s="52">
        <f t="shared" si="2"/>
        <v>114313.5</v>
      </c>
      <c r="K33" s="53">
        <f>IFERROR(J33/'Tasas de Cambio'!$C$5,0)</f>
        <v>38104.5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3810.45</v>
      </c>
      <c r="J36" s="52">
        <f t="shared" si="2"/>
        <v>0.0</v>
      </c>
      <c r="K36" s="53">
        <f>IFERROR(J36/'Tasas de Cambio'!$C$5,0)</f>
        <v>0.0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393</v>
      </c>
      <c r="D38" s="32" t="s">
        <v>440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441</v>
      </c>
      <c r="M38" s="1" t="s">
        <v>414</v>
      </c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3270.75</v>
      </c>
      <c r="J39" s="52">
        <f>IFERROR(H39*I39,0)</f>
        <v>1177470.0</v>
      </c>
      <c r="K39" s="53">
        <f>IFERROR(J39/'Tasas de Cambio'!$C$5,0)</f>
        <v>392490.0</v>
      </c>
      <c r="L39" s="54" t="s">
        <v>397</v>
      </c>
      <c r="M39" s="1" t="s">
        <v>374</v>
      </c>
    </row>
    <row r="40" ht="30.0" customHeight="1">
      <c r="A40" s="29" t="s">
        <v>59</v>
      </c>
      <c r="B40" s="29" t="s">
        <v>198</v>
      </c>
      <c r="C40" s="30" t="s">
        <v>394</v>
      </c>
      <c r="D40" s="32" t="s">
        <v>440</v>
      </c>
      <c r="E40" s="33" t="s">
        <v>12</v>
      </c>
      <c r="F40" s="34">
        <v>25.0</v>
      </c>
      <c r="G40" s="33">
        <v>3.0</v>
      </c>
      <c r="H40" s="51">
        <f>IFERROR(F40*G40,0)</f>
        <v>75.0</v>
      </c>
      <c r="I40" s="51">
        <f t="array" ref="I40">IFERROR(INDEX('Tasas de Cambio'!$E$11:$E$15,MATCH(E40,'Tasas de Cambio'!$B$11:$B$15,0)),0)</f>
        <v>3810.45</v>
      </c>
      <c r="J40" s="52">
        <f>IFERROR(H40*I40,0)</f>
        <v>285783.75</v>
      </c>
      <c r="K40" s="53">
        <f>IFERROR(J40/'Tasas de Cambio'!$C$5,0)</f>
        <v>95261.25</v>
      </c>
      <c r="L40" s="54" t="s">
        <v>442</v>
      </c>
      <c r="M40" s="1" t="s">
        <v>414</v>
      </c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157.82</v>
      </c>
      <c r="J43" s="52">
        <f t="shared" si="2"/>
        <v>0.0</v>
      </c>
      <c r="K43" s="53">
        <f>IFERROR(J43/'Tasas de Cambio'!$C$5,0)</f>
        <v>0.0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3810.45</v>
      </c>
      <c r="J44" s="52">
        <f t="shared" si="2"/>
        <v>114313.5</v>
      </c>
      <c r="K44" s="53">
        <f>IFERROR(J44/'Tasas de Cambio'!$C$5,0)</f>
        <v>38104.5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3810.45</v>
      </c>
      <c r="J46" s="52">
        <f>IFERROR(H46*I46,0)</f>
        <v>1524180.0</v>
      </c>
      <c r="K46" s="53">
        <f>IFERROR(J46/'Tasas de Cambio'!$C$5,0)</f>
        <v>508060.0</v>
      </c>
      <c r="L46" s="54" t="s">
        <v>123</v>
      </c>
      <c r="M46" s="1" t="s">
        <v>414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3810.45</v>
      </c>
      <c r="J47" s="52">
        <f>IFERROR(H47*I47,0)</f>
        <v>137176.19999999998</v>
      </c>
      <c r="K47" s="53">
        <f>IFERROR(J47/'Tasas de Cambio'!$C$5,0)</f>
        <v>45725.399999999994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3810.45</v>
      </c>
      <c r="J50" s="52">
        <f t="shared" si="2"/>
        <v>114313.5</v>
      </c>
      <c r="K50" s="53">
        <f>IFERROR(J50/'Tasas de Cambio'!$C$5,0)</f>
        <v>38104.5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3810.45</v>
      </c>
      <c r="J51" s="52">
        <f>IFERROR(H51*I51,0)</f>
        <v>114313.5</v>
      </c>
      <c r="K51" s="53">
        <f>IFERROR(J51/'Tasas de Cambio'!$C$5,0)</f>
        <v>38104.5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 t="s">
        <v>417</v>
      </c>
      <c r="D52" s="32" t="s">
        <v>449</v>
      </c>
      <c r="E52" s="33" t="s">
        <v>12</v>
      </c>
      <c r="F52" s="34">
        <v>12.0</v>
      </c>
      <c r="G52" s="33">
        <v>3.0</v>
      </c>
      <c r="H52" s="51">
        <f>IFERROR(F52*G52,0)</f>
        <v>36.0</v>
      </c>
      <c r="I52" s="51">
        <f t="array" ref="I52">IFERROR(INDEX('Tasas de Cambio'!$E$11:$E$15,MATCH(E52,'Tasas de Cambio'!$B$11:$B$15,0)),0)</f>
        <v>3810.45</v>
      </c>
      <c r="J52" s="52">
        <f>IFERROR(H52*I52,0)</f>
        <v>137176.19999999998</v>
      </c>
      <c r="K52" s="53">
        <f>IFERROR(J52/'Tasas de Cambio'!$C$5,0)</f>
        <v>45725.399999999994</v>
      </c>
      <c r="L52" s="54" t="s">
        <v>450</v>
      </c>
      <c r="M52" s="1" t="s">
        <v>414</v>
      </c>
    </row>
    <row r="53" ht="30.0" customHeight="1">
      <c r="A53" s="29" t="s">
        <v>59</v>
      </c>
      <c r="B53" s="29" t="s">
        <v>117</v>
      </c>
      <c r="C53" s="30" t="s">
        <v>107</v>
      </c>
      <c r="D53" s="32" t="s">
        <v>438</v>
      </c>
      <c r="E53" s="33" t="s">
        <v>55</v>
      </c>
      <c r="F53" s="34">
        <v>0.0</v>
      </c>
      <c r="G53" s="33">
        <v>1.0</v>
      </c>
      <c r="H53" s="51">
        <f>IFERROR(F53*G53,0)</f>
        <v>0.0</v>
      </c>
      <c r="I53" s="51">
        <f t="array" ref="I53">IFERROR(INDEX('Tasas de Cambio'!$E$11:$E$15,MATCH(E53,'Tasas de Cambio'!$B$11:$B$15,0)),0)</f>
        <v>1.0</v>
      </c>
      <c r="J53" s="52">
        <f>IFERROR(H53*I53,0)</f>
        <v>0.0</v>
      </c>
      <c r="K53" s="53">
        <f>IFERROR(J53/'Tasas de Cambio'!$C$5,0)</f>
        <v>0.0</v>
      </c>
      <c r="L53" s="54" t="s">
        <v>439</v>
      </c>
      <c r="M53" s="1" t="s">
        <v>414</v>
      </c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59</v>
      </c>
      <c r="B55" s="29" t="s">
        <v>191</v>
      </c>
      <c r="C55" s="30" t="s">
        <v>192</v>
      </c>
      <c r="D55" s="32" t="s">
        <v>443</v>
      </c>
      <c r="E55" s="33" t="s">
        <v>55</v>
      </c>
      <c r="F55" s="34">
        <v>0.0</v>
      </c>
      <c r="G55" s="33">
        <v>1.0</v>
      </c>
      <c r="H55" s="51">
        <f>IFERROR(F55*G55,0)</f>
        <v>0.0</v>
      </c>
      <c r="I55" s="51">
        <f t="array" ref="I55">IFERROR(INDEX('Tasas de Cambio'!$E$11:$E$15,MATCH(E55,'Tasas de Cambio'!$B$11:$B$15,0)),0)</f>
        <v>1.0</v>
      </c>
      <c r="J55" s="52">
        <f>IFERROR(H55*I55,0)</f>
        <v>0.0</v>
      </c>
      <c r="K55" s="53">
        <f>IFERROR(J55/'Tasas de Cambio'!$C$5,0)</f>
        <v>0.0</v>
      </c>
      <c r="L55" s="54" t="s">
        <v>123</v>
      </c>
      <c r="M55" s="1" t="s">
        <v>414</v>
      </c>
    </row>
    <row r="56" ht="30.0" customHeight="1">
      <c r="A56" s="29" t="s">
        <v>59</v>
      </c>
      <c r="B56" s="29" t="s">
        <v>191</v>
      </c>
      <c r="C56" s="30" t="s">
        <v>205</v>
      </c>
      <c r="D56" s="32" t="s">
        <v>443</v>
      </c>
      <c r="E56" s="33" t="s">
        <v>55</v>
      </c>
      <c r="F56" s="34">
        <v>0.0</v>
      </c>
      <c r="G56" s="33">
        <v>1.0</v>
      </c>
      <c r="H56" s="51">
        <f>IFERROR(F56*G56,0)</f>
        <v>0.0</v>
      </c>
      <c r="I56" s="51">
        <f t="array" ref="I56">IFERROR(INDEX('Tasas de Cambio'!$E$11:$E$15,MATCH(E56,'Tasas de Cambio'!$B$11:$B$15,0)),0)</f>
        <v>1.0</v>
      </c>
      <c r="J56" s="52">
        <f>IFERROR(H56*I56,0)</f>
        <v>0.0</v>
      </c>
      <c r="K56" s="53">
        <f>IFERROR(J56/'Tasas de Cambio'!$C$5,0)</f>
        <v>0.0</v>
      </c>
      <c r="L56" s="54" t="s">
        <v>123</v>
      </c>
      <c r="M56" s="1" t="s">
        <v>414</v>
      </c>
    </row>
    <row r="57" ht="18.0" customHeight="1">
      <c r="A57" s="29" t="s">
        <v>59</v>
      </c>
      <c r="B57" s="29" t="s">
        <v>292</v>
      </c>
      <c r="C57" s="30" t="s">
        <v>125</v>
      </c>
      <c r="D57" s="32" t="s">
        <v>435</v>
      </c>
      <c r="E57" s="33" t="s">
        <v>12</v>
      </c>
      <c r="F57" s="34">
        <v>20.0</v>
      </c>
      <c r="G57" s="33">
        <v>3.0</v>
      </c>
      <c r="H57" s="51">
        <f>IFERROR(F57*G57,0)</f>
        <v>60.0</v>
      </c>
      <c r="I57" s="51">
        <f t="array" ref="I57">IFERROR(INDEX('Tasas de Cambio'!$E$11:$E$15,MATCH(E57,'Tasas de Cambio'!$B$11:$B$15,0)),0)</f>
        <v>3810.45</v>
      </c>
      <c r="J57" s="52">
        <f>IFERROR(H57*I57,0)</f>
        <v>228627.0</v>
      </c>
      <c r="K57" s="53">
        <f>IFERROR(J57/'Tasas de Cambio'!$C$5,0)</f>
        <v>76209.0</v>
      </c>
      <c r="L57" s="54" t="s">
        <v>436</v>
      </c>
      <c r="M57" s="1" t="s">
        <v>414</v>
      </c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3270.75</v>
      </c>
      <c r="J5" s="52">
        <f t="shared" ref="J5:J33" si="2">IFERROR(H5*I5,0)</f>
        <v>130830.0</v>
      </c>
      <c r="K5" s="53">
        <f>IFERROR(J5/'Tasas de Cambio'!$C$5,0)</f>
        <v>43610.0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3810.45</v>
      </c>
      <c r="J6" s="52">
        <f t="shared" si="2"/>
        <v>2286270.0</v>
      </c>
      <c r="K6" s="53">
        <f>IFERROR(J6/'Tasas de Cambio'!$C$5,0)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3.0</v>
      </c>
      <c r="H7" s="51">
        <f>IFERROR(F7*G7,0)</f>
        <v>665955.0</v>
      </c>
      <c r="I7" s="51">
        <f t="array" ref="I7">IFERROR(INDEX('Tasas de Cambio'!$E$11:$E$15,MATCH(E7,'Tasas de Cambio'!$B$11:$B$15,0)),0)</f>
        <v>1.0</v>
      </c>
      <c r="J7" s="52">
        <f>IFERROR(H7*I7,0)</f>
        <v>665955.0</v>
      </c>
      <c r="K7" s="53">
        <f>IFERROR(J7/'Tasas de Cambio'!$C$5,0)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1900000.0</v>
      </c>
      <c r="G9" s="33">
        <v>1.0</v>
      </c>
      <c r="H9" s="51">
        <f>IFERROR(F9*G9,0)</f>
        <v>1900000.0</v>
      </c>
      <c r="I9" s="51">
        <f t="array" ref="I9">IFERROR(INDEX('Tasas de Cambio'!$E$11:$E$15,MATCH(E9,'Tasas de Cambio'!$B$11:$B$15,0)),0)</f>
        <v>1.0</v>
      </c>
      <c r="J9" s="52">
        <f>IFERROR(H9*I9,0)</f>
        <v>1900000.0</v>
      </c>
      <c r="K9" s="53">
        <f>IFERROR(J9/'Tasas de Cambio'!$C$5,0)</f>
        <v>633333.3333333334</v>
      </c>
      <c r="L9" s="54" t="s">
        <v>380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IFERROR(J10/'Tasas de Cambio'!$C$5,0)</f>
        <v>50806.0</v>
      </c>
      <c r="L10" s="54" t="s">
        <v>123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3810.45</v>
      </c>
      <c r="J11" s="52">
        <f t="shared" si="2"/>
        <v>171470.25</v>
      </c>
      <c r="K11" s="53">
        <f>IFERROR(J11/'Tasas de Cambio'!$C$5,0)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3.0</v>
      </c>
      <c r="H12" s="51">
        <f>IFERROR(F12*G12,0)</f>
        <v>30.0</v>
      </c>
      <c r="I12" s="51">
        <f t="array" ref="I12">IFERROR(INDEX('Tasas de Cambio'!$E$11:$E$15,MATCH(E12,'Tasas de Cambio'!$B$11:$B$15,0)),0)</f>
        <v>3270.75</v>
      </c>
      <c r="J12" s="52">
        <f>IFERROR(H12*I12,0)</f>
        <v>98122.5</v>
      </c>
      <c r="K12" s="53">
        <f>IFERROR(J12/'Tasas de Cambio'!$C$5,0)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3810.45</v>
      </c>
      <c r="J13" s="52">
        <f t="shared" si="2"/>
        <v>342940.5</v>
      </c>
      <c r="K13" s="53">
        <f>IFERROR(J13/'Tasas de Cambio'!$C$5,0)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3.0</v>
      </c>
      <c r="H14" s="51">
        <f>IFERROR(F14*G14,0)</f>
        <v>36.0</v>
      </c>
      <c r="I14" s="51">
        <f t="array" ref="I14">IFERROR(INDEX('Tasas de Cambio'!$E$11:$E$15,MATCH(E14,'Tasas de Cambio'!$B$11:$B$15,0)),0)</f>
        <v>3810.45</v>
      </c>
      <c r="J14" s="52">
        <f>IFERROR(H14*I14,0)</f>
        <v>137176.19999999998</v>
      </c>
      <c r="K14" s="53">
        <f>IFERROR(J14/'Tasas de Cambio'!$C$5,0)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>IFERROR(F15*G15,0)</f>
        <v>2010.0</v>
      </c>
      <c r="I15" s="51">
        <f t="array" ref="I15">IFERROR(INDEX('Tasas de Cambio'!$E$11:$E$15,MATCH(E15,'Tasas de Cambio'!$B$11:$B$15,0)),0)</f>
        <v>3270.75</v>
      </c>
      <c r="J15" s="52">
        <f>IFERROR(H15*I15,0)</f>
        <v>6574207.5</v>
      </c>
      <c r="K15" s="53">
        <f>IFERROR(J15/'Tasas de Cambio'!$C$5,0)</f>
        <v>2191402.5</v>
      </c>
      <c r="L15" s="54" t="s">
        <v>385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3810.45</v>
      </c>
      <c r="J16" s="52">
        <f t="shared" si="2"/>
        <v>114313.5</v>
      </c>
      <c r="K16" s="53">
        <f>IFERROR(J16/'Tasas de Cambio'!$C$5,0)</f>
        <v>38104.5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3810.45</v>
      </c>
      <c r="J18" s="52">
        <f t="shared" si="2"/>
        <v>114313.5</v>
      </c>
      <c r="K18" s="53">
        <f>IFERROR(J18/'Tasas de Cambio'!$C$5,0)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3270.75</v>
      </c>
      <c r="J20" s="52">
        <f>IFERROR(H20*I20,0)</f>
        <v>686857.5</v>
      </c>
      <c r="K20" s="53">
        <f>IFERROR(J20/'Tasas de Cambio'!$C$5,0)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3.0</v>
      </c>
      <c r="H22" s="51">
        <f>IFERROR(F22*G22,0)</f>
        <v>360.0</v>
      </c>
      <c r="I22" s="51">
        <f t="array" ref="I22">IFERROR(INDEX('Tasas de Cambio'!$E$11:$E$15,MATCH(E22,'Tasas de Cambio'!$B$11:$B$15,0)),0)</f>
        <v>3270.75</v>
      </c>
      <c r="J22" s="52">
        <f>IFERROR(H22*I22,0)</f>
        <v>1177470.0</v>
      </c>
      <c r="K22" s="53">
        <f>IFERROR(J22/'Tasas de Cambio'!$C$5,0)</f>
        <v>392490.0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3810.45</v>
      </c>
      <c r="J23" s="52">
        <f t="shared" si="2"/>
        <v>285783.75</v>
      </c>
      <c r="K23" s="53">
        <f>IFERROR(J23/'Tasas de Cambio'!$C$5,0)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3810.45</v>
      </c>
      <c r="J26" s="52">
        <f t="shared" si="2"/>
        <v>114313.5</v>
      </c>
      <c r="K26" s="53">
        <f>IFERROR(J26/'Tasas de Cambio'!$C$5,0)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400.0</v>
      </c>
      <c r="G27" s="33">
        <v>1.0</v>
      </c>
      <c r="H27" s="51">
        <f>IFERROR(F27*G27,0)</f>
        <v>400.0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1524180.0</v>
      </c>
      <c r="K27" s="53">
        <f>IFERROR(J27/'Tasas de Cambio'!$C$5,0)</f>
        <v>508060.0</v>
      </c>
      <c r="L27" s="54" t="s">
        <v>123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3.0</v>
      </c>
      <c r="H28" s="51">
        <f>IFERROR(F28*G28,0)</f>
        <v>36.0</v>
      </c>
      <c r="I28" s="51">
        <f t="array" ref="I28">IFERROR(INDEX('Tasas de Cambio'!$E$11:$E$15,MATCH(E28,'Tasas de Cambio'!$B$11:$B$15,0)),0)</f>
        <v>3810.45</v>
      </c>
      <c r="J28" s="52">
        <f>IFERROR(H28*I28,0)</f>
        <v>137176.19999999998</v>
      </c>
      <c r="K28" s="53">
        <f>IFERROR(J28/'Tasas de Cambio'!$C$5,0)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3810.45</v>
      </c>
      <c r="J29" s="52">
        <f t="shared" si="2"/>
        <v>342940.5</v>
      </c>
      <c r="K29" s="53">
        <f>IFERROR(J29/'Tasas de Cambio'!$C$5,0)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3810.45</v>
      </c>
      <c r="J31" s="52">
        <f t="shared" si="2"/>
        <v>114313.5</v>
      </c>
      <c r="K31" s="53">
        <f>IFERROR(J31/'Tasas de Cambio'!$C$5,0)</f>
        <v>38104.5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3.0</v>
      </c>
      <c r="H32" s="51">
        <f>IFERROR(F32*G32,0)</f>
        <v>30.0</v>
      </c>
      <c r="I32" s="51">
        <f t="array" ref="I32">IFERROR(INDEX('Tasas de Cambio'!$E$11:$E$15,MATCH(E32,'Tasas de Cambio'!$B$11:$B$15,0)),0)</f>
        <v>3810.45</v>
      </c>
      <c r="J32" s="52">
        <f>IFERROR(H32*I32,0)</f>
        <v>114313.5</v>
      </c>
      <c r="K32" s="53">
        <f>IFERROR(J32/'Tasas de Cambio'!$C$5,0)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3.0</v>
      </c>
      <c r="H33" s="51">
        <f>IFERROR(F33*G33,0)</f>
        <v>36.0</v>
      </c>
      <c r="I33" s="51">
        <f t="array" ref="I33">IFERROR(INDEX('Tasas de Cambio'!$E$11:$E$15,MATCH(E33,'Tasas de Cambio'!$B$11:$B$15,0)),0)</f>
        <v>3810.45</v>
      </c>
      <c r="J33" s="52">
        <f>IFERROR(H33*I33,0)</f>
        <v>137176.19999999998</v>
      </c>
      <c r="K33" s="53">
        <f>IFERROR(J33/'Tasas de Cambio'!$C$5,0)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3.0</v>
      </c>
      <c r="H34" s="51">
        <f>IFERROR(F34*G34,0)</f>
        <v>30.0</v>
      </c>
      <c r="I34" s="51">
        <f t="array" ref="I34">IFERROR(INDEX('Tasas de Cambio'!$E$11:$E$15,MATCH(E34,'Tasas de Cambio'!$B$11:$B$15,0)),0)</f>
        <v>3270.75</v>
      </c>
      <c r="J34" s="52">
        <f>IFERROR(H34*I34,0)</f>
        <v>98122.5</v>
      </c>
      <c r="K34" s="53">
        <f>IFERROR(J34/'Tasas de Cambio'!$C$5,0)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>IFERROR(F5*G5,0)</f>
        <v>40.0</v>
      </c>
      <c r="I5" s="51">
        <f t="array" ref="I5">IFERROR(INDEX('Tasas de Cambio'!$E$11:$E$15,MATCH(E5,'Tasas de Cambio'!$B$11:$B$15,0)),0)</f>
        <v>3270.75</v>
      </c>
      <c r="J5" s="52">
        <f>IFERROR(H5*I5,0)</f>
        <v>130830.0</v>
      </c>
      <c r="K5" s="53">
        <f>IFERROR(J5/2,0)</f>
        <v>65415.0</v>
      </c>
      <c r="L5" s="54" t="s">
        <v>413</v>
      </c>
      <c r="M5" s="1" t="s">
        <v>414</v>
      </c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2.0</v>
      </c>
      <c r="H6" s="51">
        <f t="shared" si="1"/>
        <v>400.0</v>
      </c>
      <c r="I6" s="51">
        <f t="array" ref="I6">IFERROR(INDEX('Tasas de Cambio'!$E$11:$E$15,MATCH(E6,'Tasas de Cambio'!$B$11:$B$15,0)),0)</f>
        <v>3810.45</v>
      </c>
      <c r="J6" s="52">
        <f t="shared" si="2"/>
        <v>1524180.0</v>
      </c>
      <c r="K6" s="53">
        <f>IFERROR(J6/2,0)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2.0</v>
      </c>
      <c r="H7" s="51">
        <f>IFERROR(F7*G7,0)</f>
        <v>443970.0</v>
      </c>
      <c r="I7" s="51">
        <f t="array" ref="I7">IFERROR(INDEX('Tasas de Cambio'!$E$11:$E$15,MATCH(E7,'Tasas de Cambio'!$B$11:$B$15,0)),0)</f>
        <v>1.0</v>
      </c>
      <c r="J7" s="52">
        <f>IFERROR(H7*I7,0)</f>
        <v>443970.0</v>
      </c>
      <c r="K7" s="53">
        <f>IFERROR(J7/2,0)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2.0</v>
      </c>
      <c r="H8" s="51">
        <f t="shared" si="1"/>
        <v>2982140.0</v>
      </c>
      <c r="I8" s="51">
        <f t="array" ref="I8">IFERROR(INDEX('Tasas de Cambio'!$E$11:$E$15,MATCH(E8,'Tasas de Cambio'!$B$11:$B$15,0)),0)</f>
        <v>1</v>
      </c>
      <c r="J8" s="52">
        <f t="shared" si="2"/>
        <v>2982140.0</v>
      </c>
      <c r="K8" s="53">
        <f>IFERROR(J8/2,0)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1615000.0</v>
      </c>
      <c r="G9" s="33">
        <v>1.0</v>
      </c>
      <c r="H9" s="51">
        <f>IFERROR(F9*G9,0)</f>
        <v>1615000.0</v>
      </c>
      <c r="I9" s="51">
        <f t="array" ref="I9">IFERROR(INDEX('Tasas de Cambio'!$E$11:$E$15,MATCH(E9,'Tasas de Cambio'!$B$11:$B$15,0)),0)</f>
        <v>1.0</v>
      </c>
      <c r="J9" s="52">
        <f>IFERROR(H9*I9,0)</f>
        <v>1615000.0</v>
      </c>
      <c r="K9" s="53">
        <f>IFERROR(J9/2,0)</f>
        <v>807500.0</v>
      </c>
      <c r="L9" s="54" t="s">
        <v>415</v>
      </c>
      <c r="M9" s="1" t="s">
        <v>414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IFERROR(J10/2,0)</f>
        <v>76209.0</v>
      </c>
      <c r="L10" s="54" t="s">
        <v>123</v>
      </c>
      <c r="M10" s="1" t="s">
        <v>414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2.0</v>
      </c>
      <c r="H11" s="51">
        <f t="shared" si="1"/>
        <v>30.0</v>
      </c>
      <c r="I11" s="51">
        <f t="array" ref="I11">IFERROR(INDEX('Tasas de Cambio'!$E$11:$E$15,MATCH(E11,'Tasas de Cambio'!$B$11:$B$15,0)),0)</f>
        <v>3810.45</v>
      </c>
      <c r="J11" s="52">
        <f t="shared" si="2"/>
        <v>114313.5</v>
      </c>
      <c r="K11" s="53">
        <f>IFERROR(J11/2,0)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2.0</v>
      </c>
      <c r="H12" s="51">
        <f>IFERROR(F12*G12,0)</f>
        <v>20.0</v>
      </c>
      <c r="I12" s="51">
        <f t="array" ref="I12">IFERROR(INDEX('Tasas de Cambio'!$E$11:$E$15,MATCH(E12,'Tasas de Cambio'!$B$11:$B$15,0)),0)</f>
        <v>3270.75</v>
      </c>
      <c r="J12" s="52">
        <f>IFERROR(H12*I12,0)</f>
        <v>65415.0</v>
      </c>
      <c r="K12" s="53">
        <f>IFERROR(J12/2,0)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2.0</v>
      </c>
      <c r="H13" s="51">
        <f t="shared" si="1"/>
        <v>60.0</v>
      </c>
      <c r="I13" s="51">
        <f t="array" ref="I13">IFERROR(INDEX('Tasas de Cambio'!$E$11:$E$15,MATCH(E13,'Tasas de Cambio'!$B$11:$B$15,0)),0)</f>
        <v>3810.45</v>
      </c>
      <c r="J13" s="52">
        <f t="shared" si="2"/>
        <v>228627.0</v>
      </c>
      <c r="K13" s="53">
        <f>IFERROR(J13/2,0)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2.0</v>
      </c>
      <c r="H14" s="51">
        <f>IFERROR(F14*G14,0)</f>
        <v>24.0</v>
      </c>
      <c r="I14" s="51">
        <f t="array" ref="I14">IFERROR(INDEX('Tasas de Cambio'!$E$11:$E$15,MATCH(E14,'Tasas de Cambio'!$B$11:$B$15,0)),0)</f>
        <v>3810.45</v>
      </c>
      <c r="J14" s="52">
        <f>IFERROR(H14*I14,0)</f>
        <v>91450.79999999999</v>
      </c>
      <c r="K14" s="53">
        <f>IFERROR(J14/2,0)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1650.0</v>
      </c>
      <c r="G15" s="33">
        <v>1.0</v>
      </c>
      <c r="H15" s="51">
        <f>IFERROR(F15*G15,0)</f>
        <v>1650.0</v>
      </c>
      <c r="I15" s="51">
        <f t="array" ref="I15">IFERROR(INDEX('Tasas de Cambio'!$E$11:$E$15,MATCH(E15,'Tasas de Cambio'!$B$11:$B$15,0)),0)</f>
        <v>3270.75</v>
      </c>
      <c r="J15" s="52">
        <f>IFERROR(H15*I15,0)</f>
        <v>5396737.5</v>
      </c>
      <c r="K15" s="53">
        <f>IFERROR(J15/2,0)</f>
        <v>2698368.75</v>
      </c>
      <c r="L15" s="54" t="s">
        <v>385</v>
      </c>
      <c r="M15" s="1" t="s">
        <v>414</v>
      </c>
    </row>
    <row r="16" ht="15.75" customHeight="1">
      <c r="A16" s="29" t="s">
        <v>14</v>
      </c>
      <c r="B16" s="29" t="s">
        <v>159</v>
      </c>
      <c r="C16" s="30" t="s">
        <v>416</v>
      </c>
      <c r="D16" s="32" t="s">
        <v>180</v>
      </c>
      <c r="E16" s="33" t="s">
        <v>97</v>
      </c>
      <c r="F16" s="34">
        <v>15.0</v>
      </c>
      <c r="G16" s="33">
        <v>1.0</v>
      </c>
      <c r="H16" s="51">
        <f>IFERROR(F16*G16,0)</f>
        <v>15.0</v>
      </c>
      <c r="I16" s="51">
        <f t="array" ref="I16">IFERROR(INDEX('Tasas de Cambio'!$E$11:$E$15,MATCH(E16,'Tasas de Cambio'!$B$11:$B$15,0)),0)</f>
        <v>3270.75</v>
      </c>
      <c r="J16" s="52">
        <f>IFERROR(H16*I16,0)</f>
        <v>49061.25</v>
      </c>
      <c r="K16" s="53">
        <f>IFERROR(J16/2,0)</f>
        <v>24530.625</v>
      </c>
      <c r="L16" s="54" t="s">
        <v>123</v>
      </c>
      <c r="M16" s="1" t="s">
        <v>414</v>
      </c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2.0</v>
      </c>
      <c r="H18" s="51">
        <f t="shared" si="1"/>
        <v>20.0</v>
      </c>
      <c r="I18" s="51">
        <f t="array" ref="I18">IFERROR(INDEX('Tasas de Cambio'!$E$11:$E$15,MATCH(E18,'Tasas de Cambio'!$B$11:$B$15,0)),0)</f>
        <v>3810.45</v>
      </c>
      <c r="J18" s="52">
        <f t="shared" si="2"/>
        <v>76209.0</v>
      </c>
      <c r="K18" s="53">
        <f>IFERROR(J18/2,0)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2.0</v>
      </c>
      <c r="H20" s="51">
        <f>IFERROR(F20*G20,0)</f>
        <v>140.0</v>
      </c>
      <c r="I20" s="51">
        <f t="array" ref="I20">IFERROR(INDEX('Tasas de Cambio'!$E$11:$E$15,MATCH(E20,'Tasas de Cambio'!$B$11:$B$15,0)),0)</f>
        <v>3270.75</v>
      </c>
      <c r="J20" s="52">
        <f>IFERROR(H20*I20,0)</f>
        <v>457905.0</v>
      </c>
      <c r="K20" s="53">
        <f>IFERROR(J20/2,0)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2.0</v>
      </c>
      <c r="H21" s="51">
        <f t="shared" si="1"/>
        <v>50.0</v>
      </c>
      <c r="I21" s="51">
        <f t="array" ref="I21">IFERROR(INDEX('Tasas de Cambio'!$E$11:$E$15,MATCH(E21,'Tasas de Cambio'!$B$11:$B$15,0)),0)</f>
        <v>3810.45</v>
      </c>
      <c r="J21" s="52">
        <f t="shared" si="2"/>
        <v>190522.5</v>
      </c>
      <c r="K21" s="53">
        <f>IFERROR(J21/2,0)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2.0</v>
      </c>
      <c r="H22" s="51">
        <f>IFERROR(F22*G22,0)</f>
        <v>240.0</v>
      </c>
      <c r="I22" s="51">
        <f t="array" ref="I22">IFERROR(INDEX('Tasas de Cambio'!$E$11:$E$15,MATCH(E22,'Tasas de Cambio'!$B$11:$B$15,0)),0)</f>
        <v>3270.75</v>
      </c>
      <c r="J22" s="52">
        <f>IFERROR(H22*I22,0)</f>
        <v>784980.0</v>
      </c>
      <c r="K22" s="53">
        <f>IFERROR(J22/2,0)</f>
        <v>392490.0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2.0</v>
      </c>
      <c r="H23" s="51">
        <f t="shared" si="1"/>
        <v>50.0</v>
      </c>
      <c r="I23" s="51">
        <f t="array" ref="I23">IFERROR(INDEX('Tasas de Cambio'!$E$11:$E$15,MATCH(E23,'Tasas de Cambio'!$B$11:$B$15,0)),0)</f>
        <v>3810.45</v>
      </c>
      <c r="J23" s="52">
        <f t="shared" si="2"/>
        <v>190522.5</v>
      </c>
      <c r="K23" s="53">
        <f>IFERROR(J23/2,0)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2.0</v>
      </c>
      <c r="H26" s="51">
        <f t="shared" si="1"/>
        <v>20.0</v>
      </c>
      <c r="I26" s="51">
        <f t="array" ref="I26">IFERROR(INDEX('Tasas de Cambio'!$E$11:$E$15,MATCH(E26,'Tasas de Cambio'!$B$11:$B$15,0)),0)</f>
        <v>3810.45</v>
      </c>
      <c r="J26" s="52">
        <f t="shared" si="2"/>
        <v>76209.0</v>
      </c>
      <c r="K26" s="53">
        <f>IFERROR(J26/2,0)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55</v>
      </c>
      <c r="F27" s="34">
        <v>1100000.0</v>
      </c>
      <c r="G27" s="33">
        <v>1.0</v>
      </c>
      <c r="H27" s="51">
        <f>IFERROR(F27*G27,0)</f>
        <v>1100000.0</v>
      </c>
      <c r="I27" s="51">
        <f t="array" ref="I27">IFERROR(INDEX('Tasas de Cambio'!$E$11:$E$15,MATCH(E27,'Tasas de Cambio'!$B$11:$B$15,0)),0)</f>
        <v>1.0</v>
      </c>
      <c r="J27" s="52">
        <f>IFERROR(H27*I27,0)</f>
        <v>1100000.0</v>
      </c>
      <c r="K27" s="53">
        <f>IFERROR(J27/2,0)</f>
        <v>550000.0</v>
      </c>
      <c r="L27" s="54" t="s">
        <v>418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2.0</v>
      </c>
      <c r="H28" s="51">
        <f>IFERROR(F28*G28,0)</f>
        <v>24.0</v>
      </c>
      <c r="I28" s="51">
        <f t="array" ref="I28">IFERROR(INDEX('Tasas de Cambio'!$E$11:$E$15,MATCH(E28,'Tasas de Cambio'!$B$11:$B$15,0)),0)</f>
        <v>3810.45</v>
      </c>
      <c r="J28" s="52">
        <f>IFERROR(H28*I28,0)</f>
        <v>91450.79999999999</v>
      </c>
      <c r="K28" s="53">
        <f>IFERROR(J28/2,0)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2.0</v>
      </c>
      <c r="H29" s="51">
        <f t="shared" si="1"/>
        <v>60.0</v>
      </c>
      <c r="I29" s="51">
        <f t="array" ref="I29">IFERROR(INDEX('Tasas de Cambio'!$E$11:$E$15,MATCH(E29,'Tasas de Cambio'!$B$11:$B$15,0)),0)</f>
        <v>3810.45</v>
      </c>
      <c r="J29" s="52">
        <f t="shared" si="2"/>
        <v>228627.0</v>
      </c>
      <c r="K29" s="53">
        <f>IFERROR(J29/2,0)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2.0</v>
      </c>
      <c r="H30" s="51">
        <f t="shared" si="1"/>
        <v>2982140.0</v>
      </c>
      <c r="I30" s="51">
        <f t="array" ref="I30">IFERROR(INDEX('Tasas de Cambio'!$E$11:$E$15,MATCH(E30,'Tasas de Cambio'!$B$11:$B$15,0)),0)</f>
        <v>1</v>
      </c>
      <c r="J30" s="52">
        <f t="shared" si="2"/>
        <v>2982140.0</v>
      </c>
      <c r="K30" s="53">
        <f>IFERROR(J30/2,0)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 t="s">
        <v>417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>IFERROR(F31*G31,0)</f>
        <v>30.0</v>
      </c>
      <c r="I31" s="51">
        <f t="array" ref="I31">IFERROR(INDEX('Tasas de Cambio'!$E$11:$E$15,MATCH(E31,'Tasas de Cambio'!$B$11:$B$15,0)),0)</f>
        <v>3810.45</v>
      </c>
      <c r="J31" s="52">
        <f>IFERROR(H31*I31,0)</f>
        <v>114313.5</v>
      </c>
      <c r="K31" s="53">
        <f>IFERROR(J31/2,0)</f>
        <v>57156.75</v>
      </c>
      <c r="L31" s="54" t="s">
        <v>123</v>
      </c>
      <c r="M31" s="1" t="s">
        <v>414</v>
      </c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2.0</v>
      </c>
      <c r="H32" s="51">
        <f>IFERROR(F32*G32,0)</f>
        <v>20.0</v>
      </c>
      <c r="I32" s="51">
        <f t="array" ref="I32">IFERROR(INDEX('Tasas de Cambio'!$E$11:$E$15,MATCH(E32,'Tasas de Cambio'!$B$11:$B$15,0)),0)</f>
        <v>3810.45</v>
      </c>
      <c r="J32" s="52">
        <f>IFERROR(H32*I32,0)</f>
        <v>76209.0</v>
      </c>
      <c r="K32" s="53">
        <f>IFERROR(J32/2,0)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2.0</v>
      </c>
      <c r="H33" s="51">
        <f>IFERROR(F33*G33,0)</f>
        <v>24.0</v>
      </c>
      <c r="I33" s="51">
        <f t="array" ref="I33">IFERROR(INDEX('Tasas de Cambio'!$E$11:$E$15,MATCH(E33,'Tasas de Cambio'!$B$11:$B$15,0)),0)</f>
        <v>3810.45</v>
      </c>
      <c r="J33" s="52">
        <f>IFERROR(H33*I33,0)</f>
        <v>91450.79999999999</v>
      </c>
      <c r="K33" s="53">
        <f>IFERROR(J33/2,0)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2.0</v>
      </c>
      <c r="H34" s="51">
        <f>IFERROR(F34*G34,0)</f>
        <v>20.0</v>
      </c>
      <c r="I34" s="51">
        <f t="array" ref="I34">IFERROR(INDEX('Tasas de Cambio'!$E$11:$E$15,MATCH(E34,'Tasas de Cambio'!$B$11:$B$15,0)),0)</f>
        <v>3270.75</v>
      </c>
      <c r="J34" s="52">
        <f>IFERROR(H34*I34,0)</f>
        <v>65415.0</v>
      </c>
      <c r="K34" s="53">
        <f>IFERROR(J34/2,0)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2.0</v>
      </c>
      <c r="H38" s="51">
        <f>IFERROR(F38*G38,0)</f>
        <v>50.0</v>
      </c>
      <c r="I38" s="51">
        <f t="array" ref="I38">IFERROR(INDEX('Tasas de Cambio'!$E$11:$E$15,MATCH(E38,'Tasas de Cambio'!$B$11:$B$15,0)),0)</f>
        <v>3810.45</v>
      </c>
      <c r="J38" s="52">
        <f>IFERROR(H38*I38,0)</f>
        <v>190522.5</v>
      </c>
      <c r="K38" s="53">
        <f>IFERROR(J38/2,0)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2.0</v>
      </c>
      <c r="H39" s="51">
        <f>IFERROR(F39*G39,0)</f>
        <v>50.0</v>
      </c>
      <c r="I39" s="51">
        <f t="array" ref="I39">IFERROR(INDEX('Tasas de Cambio'!$E$11:$E$15,MATCH(E39,'Tasas de Cambio'!$B$11:$B$15,0)),0)</f>
        <v>3810.45</v>
      </c>
      <c r="J39" s="52">
        <f>IFERROR(H39*I39,0)</f>
        <v>190522.5</v>
      </c>
      <c r="K39" s="53">
        <f>IFERROR(J39/2,0)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>IFERROR(F5*G5,0)</f>
        <v>40.0</v>
      </c>
      <c r="I5" s="51">
        <f t="array" ref="I5">IFERROR(INDEX('Tasas de Cambio'!$E$11:$E$15,MATCH(E5,'Tasas de Cambio'!$B$11:$B$15,0)),0)</f>
        <v>3270.75</v>
      </c>
      <c r="J5" s="52">
        <f>IFERROR(H5*I5,0)</f>
        <v>130830.0</v>
      </c>
      <c r="K5" s="53">
        <f>IFERROR(J5/4,0)</f>
        <v>32707.5</v>
      </c>
      <c r="L5" s="54" t="s">
        <v>452</v>
      </c>
      <c r="M5" s="1" t="s">
        <v>414</v>
      </c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4.0</v>
      </c>
      <c r="H6" s="51">
        <f t="shared" si="1"/>
        <v>800.0</v>
      </c>
      <c r="I6" s="51">
        <f t="array" ref="I6">IFERROR(INDEX('Tasas de Cambio'!$E$11:$E$15,MATCH(E6,'Tasas de Cambio'!$B$11:$B$15,0)),0)</f>
        <v>3810.45</v>
      </c>
      <c r="J6" s="52">
        <f t="shared" si="2"/>
        <v>3048360.0</v>
      </c>
      <c r="K6" s="53">
        <f>IFERROR(J6/4,0)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4.0</v>
      </c>
      <c r="H7" s="51">
        <f>IFERROR(F7*G7,0)</f>
        <v>887940.0</v>
      </c>
      <c r="I7" s="51">
        <f t="array" ref="I7">IFERROR(INDEX('Tasas de Cambio'!$E$11:$E$15,MATCH(E7,'Tasas de Cambio'!$B$11:$B$15,0)),0)</f>
        <v>1.0</v>
      </c>
      <c r="J7" s="52">
        <f>IFERROR(H7*I7,0)</f>
        <v>887940.0</v>
      </c>
      <c r="K7" s="53">
        <f>IFERROR(J7/4,0)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4.0</v>
      </c>
      <c r="H8" s="51">
        <f t="shared" si="1"/>
        <v>5964280.0</v>
      </c>
      <c r="I8" s="51">
        <f t="array" ref="I8">IFERROR(INDEX('Tasas de Cambio'!$E$11:$E$15,MATCH(E8,'Tasas de Cambio'!$B$11:$B$15,0)),0)</f>
        <v>1</v>
      </c>
      <c r="J8" s="52">
        <f t="shared" si="2"/>
        <v>5964280.0</v>
      </c>
      <c r="K8" s="53">
        <f>IFERROR(J8/4,0)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1750000.0</v>
      </c>
      <c r="G9" s="33">
        <v>1.0</v>
      </c>
      <c r="H9" s="51">
        <f>IFERROR(F9*G9,0)</f>
        <v>1750000.0</v>
      </c>
      <c r="I9" s="51">
        <f t="array" ref="I9">IFERROR(INDEX('Tasas de Cambio'!$E$11:$E$15,MATCH(E9,'Tasas de Cambio'!$B$11:$B$15,0)),0)</f>
        <v>1.0</v>
      </c>
      <c r="J9" s="52">
        <f>IFERROR(H9*I9,0)</f>
        <v>1750000.0</v>
      </c>
      <c r="K9" s="53">
        <f>IFERROR(J9/4,0)</f>
        <v>437500.0</v>
      </c>
      <c r="L9" s="54" t="s">
        <v>454</v>
      </c>
      <c r="M9" s="1" t="s">
        <v>414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IFERROR(J10/4,0)</f>
        <v>38104.5</v>
      </c>
      <c r="L10" s="54" t="s">
        <v>123</v>
      </c>
      <c r="M10" s="1" t="s">
        <v>414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4.0</v>
      </c>
      <c r="H11" s="51">
        <f t="shared" si="1"/>
        <v>60.0</v>
      </c>
      <c r="I11" s="51">
        <f t="array" ref="I11">IFERROR(INDEX('Tasas de Cambio'!$E$11:$E$15,MATCH(E11,'Tasas de Cambio'!$B$11:$B$15,0)),0)</f>
        <v>3810.45</v>
      </c>
      <c r="J11" s="52">
        <f t="shared" si="2"/>
        <v>228627.0</v>
      </c>
      <c r="K11" s="53">
        <f>IFERROR(J11/4,0)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4.0</v>
      </c>
      <c r="H12" s="51">
        <f>IFERROR(F12*G12,0)</f>
        <v>40.0</v>
      </c>
      <c r="I12" s="51">
        <f t="array" ref="I12">IFERROR(INDEX('Tasas de Cambio'!$E$11:$E$15,MATCH(E12,'Tasas de Cambio'!$B$11:$B$15,0)),0)</f>
        <v>3270.75</v>
      </c>
      <c r="J12" s="52">
        <f>IFERROR(H12*I12,0)</f>
        <v>130830.0</v>
      </c>
      <c r="K12" s="53">
        <f>IFERROR(J12/4,0)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4.0</v>
      </c>
      <c r="H13" s="51">
        <f t="shared" si="1"/>
        <v>120.0</v>
      </c>
      <c r="I13" s="51">
        <f t="array" ref="I13">IFERROR(INDEX('Tasas de Cambio'!$E$11:$E$15,MATCH(E13,'Tasas de Cambio'!$B$11:$B$15,0)),0)</f>
        <v>3810.45</v>
      </c>
      <c r="J13" s="52">
        <f t="shared" si="2"/>
        <v>457254.0</v>
      </c>
      <c r="K13" s="53">
        <f>IFERROR(J13/4,0)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4.0</v>
      </c>
      <c r="H14" s="51">
        <f>IFERROR(F14*G14,0)</f>
        <v>48.0</v>
      </c>
      <c r="I14" s="51">
        <f t="array" ref="I14">IFERROR(INDEX('Tasas de Cambio'!$E$11:$E$15,MATCH(E14,'Tasas de Cambio'!$B$11:$B$15,0)),0)</f>
        <v>3810.45</v>
      </c>
      <c r="J14" s="52">
        <f>IFERROR(H14*I14,0)</f>
        <v>182901.59999999998</v>
      </c>
      <c r="K14" s="53">
        <f>IFERROR(J14/4,0)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2100.0</v>
      </c>
      <c r="G15" s="33">
        <v>1.0</v>
      </c>
      <c r="H15" s="51">
        <f>IFERROR(F15*G15,0)</f>
        <v>2100.0</v>
      </c>
      <c r="I15" s="51">
        <f t="array" ref="I15">IFERROR(INDEX('Tasas de Cambio'!$E$11:$E$15,MATCH(E15,'Tasas de Cambio'!$B$11:$B$15,0)),0)</f>
        <v>3270.75</v>
      </c>
      <c r="J15" s="52">
        <f>IFERROR(H15*I15,0)</f>
        <v>6868575.0</v>
      </c>
      <c r="K15" s="53">
        <f>IFERROR(J15/4,0)</f>
        <v>1717143.75</v>
      </c>
      <c r="L15" s="54" t="s">
        <v>385</v>
      </c>
      <c r="M15" s="1" t="s">
        <v>414</v>
      </c>
    </row>
    <row r="16" ht="15.75" customHeight="1">
      <c r="A16" s="29" t="s">
        <v>14</v>
      </c>
      <c r="B16" s="29" t="s">
        <v>159</v>
      </c>
      <c r="C16" s="30" t="s">
        <v>416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>IFERROR(F16*G16,0)</f>
        <v>30.0</v>
      </c>
      <c r="I16" s="51">
        <f t="array" ref="I16">IFERROR(INDEX('Tasas de Cambio'!$E$11:$E$15,MATCH(E16,'Tasas de Cambio'!$B$11:$B$15,0)),0)</f>
        <v>3810.45</v>
      </c>
      <c r="J16" s="52">
        <f>IFERROR(H16*I16,0)</f>
        <v>114313.5</v>
      </c>
      <c r="K16" s="53">
        <f>IFERROR(J16/4,0)</f>
        <v>28578.375</v>
      </c>
      <c r="L16" s="54" t="s">
        <v>123</v>
      </c>
      <c r="M16" s="1" t="s">
        <v>414</v>
      </c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4.0</v>
      </c>
      <c r="H18" s="51">
        <f t="shared" si="1"/>
        <v>40.0</v>
      </c>
      <c r="I18" s="51">
        <f t="array" ref="I18">IFERROR(INDEX('Tasas de Cambio'!$E$11:$E$15,MATCH(E18,'Tasas de Cambio'!$B$11:$B$15,0)),0)</f>
        <v>3810.45</v>
      </c>
      <c r="J18" s="52">
        <f t="shared" si="2"/>
        <v>152418.0</v>
      </c>
      <c r="K18" s="53">
        <f>IFERROR(J18/4,0)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4.0</v>
      </c>
      <c r="H20" s="51">
        <f>IFERROR(F20*G20,0)</f>
        <v>280.0</v>
      </c>
      <c r="I20" s="51">
        <f t="array" ref="I20">IFERROR(INDEX('Tasas de Cambio'!$E$11:$E$15,MATCH(E20,'Tasas de Cambio'!$B$11:$B$15,0)),0)</f>
        <v>3270.75</v>
      </c>
      <c r="J20" s="52">
        <f>IFERROR(H20*I20,0)</f>
        <v>915810.0</v>
      </c>
      <c r="K20" s="53">
        <f>IFERROR(J20/4,0)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4.0</v>
      </c>
      <c r="H21" s="51">
        <f t="shared" si="1"/>
        <v>100.0</v>
      </c>
      <c r="I21" s="51">
        <f t="array" ref="I21">IFERROR(INDEX('Tasas de Cambio'!$E$11:$E$15,MATCH(E21,'Tasas de Cambio'!$B$11:$B$15,0)),0)</f>
        <v>3810.45</v>
      </c>
      <c r="J21" s="52">
        <f t="shared" si="2"/>
        <v>381045.0</v>
      </c>
      <c r="K21" s="53">
        <f>IFERROR(J21/4,0)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4.0</v>
      </c>
      <c r="H22" s="51">
        <f>IFERROR(F22*G22,0)</f>
        <v>480.0</v>
      </c>
      <c r="I22" s="51">
        <f t="array" ref="I22">IFERROR(INDEX('Tasas de Cambio'!$E$11:$E$15,MATCH(E22,'Tasas de Cambio'!$B$11:$B$15,0)),0)</f>
        <v>3270.75</v>
      </c>
      <c r="J22" s="52">
        <f>IFERROR(H22*I22,0)</f>
        <v>1569960.0</v>
      </c>
      <c r="K22" s="53">
        <f>IFERROR(J22/4,0)</f>
        <v>392490.0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4.0</v>
      </c>
      <c r="H23" s="51">
        <f t="shared" si="1"/>
        <v>100.0</v>
      </c>
      <c r="I23" s="51">
        <f t="array" ref="I23">IFERROR(INDEX('Tasas de Cambio'!$E$11:$E$15,MATCH(E23,'Tasas de Cambio'!$B$11:$B$15,0)),0)</f>
        <v>3810.45</v>
      </c>
      <c r="J23" s="52">
        <f t="shared" si="2"/>
        <v>381045.0</v>
      </c>
      <c r="K23" s="53">
        <f>IFERROR(J23/4,0)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4.0</v>
      </c>
      <c r="H26" s="51">
        <f t="shared" si="1"/>
        <v>40.0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IFERROR(J26/4,0)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55</v>
      </c>
      <c r="F27" s="34">
        <v>1000000.0</v>
      </c>
      <c r="G27" s="33">
        <v>1.0</v>
      </c>
      <c r="H27" s="51">
        <f>IFERROR(F27*G27,0)</f>
        <v>1000000.0</v>
      </c>
      <c r="I27" s="51">
        <f t="array" ref="I27">IFERROR(INDEX('Tasas de Cambio'!$E$11:$E$15,MATCH(E27,'Tasas de Cambio'!$B$11:$B$15,0)),0)</f>
        <v>1.0</v>
      </c>
      <c r="J27" s="52">
        <f>IFERROR(H27*I27,0)</f>
        <v>1000000.0</v>
      </c>
      <c r="K27" s="53">
        <f>IFERROR(J27/4,0)</f>
        <v>250000.0</v>
      </c>
      <c r="L27" s="54" t="s">
        <v>453</v>
      </c>
      <c r="M27" s="1" t="s">
        <v>414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4.0</v>
      </c>
      <c r="H28" s="51">
        <f>IFERROR(F28*G28,0)</f>
        <v>48.0</v>
      </c>
      <c r="I28" s="51">
        <f t="array" ref="I28">IFERROR(INDEX('Tasas de Cambio'!$E$11:$E$15,MATCH(E28,'Tasas de Cambio'!$B$11:$B$15,0)),0)</f>
        <v>3810.45</v>
      </c>
      <c r="J28" s="52">
        <f>IFERROR(H28*I28,0)</f>
        <v>182901.59999999998</v>
      </c>
      <c r="K28" s="53">
        <f>IFERROR(J28/4,0)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4.0</v>
      </c>
      <c r="H29" s="51">
        <f t="shared" si="1"/>
        <v>120.0</v>
      </c>
      <c r="I29" s="51">
        <f t="array" ref="I29">IFERROR(INDEX('Tasas de Cambio'!$E$11:$E$15,MATCH(E29,'Tasas de Cambio'!$B$11:$B$15,0)),0)</f>
        <v>3810.45</v>
      </c>
      <c r="J29" s="52">
        <f t="shared" si="2"/>
        <v>457254.0</v>
      </c>
      <c r="K29" s="53">
        <f>IFERROR(J29/4,0)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4.0</v>
      </c>
      <c r="H30" s="51">
        <f t="shared" si="1"/>
        <v>5964280.0</v>
      </c>
      <c r="I30" s="51">
        <f t="array" ref="I30">IFERROR(INDEX('Tasas de Cambio'!$E$11:$E$15,MATCH(E30,'Tasas de Cambio'!$B$11:$B$15,0)),0)</f>
        <v>1</v>
      </c>
      <c r="J30" s="52">
        <f t="shared" si="2"/>
        <v>5964280.0</v>
      </c>
      <c r="K30" s="53">
        <f>IFERROR(J30/4,0)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 t="s">
        <v>417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>IFERROR(F31*G31,0)</f>
        <v>30.0</v>
      </c>
      <c r="I31" s="51">
        <f t="array" ref="I31">IFERROR(INDEX('Tasas de Cambio'!$E$11:$E$15,MATCH(E31,'Tasas de Cambio'!$B$11:$B$15,0)),0)</f>
        <v>3810.45</v>
      </c>
      <c r="J31" s="52">
        <f>IFERROR(H31*I31,0)</f>
        <v>114313.5</v>
      </c>
      <c r="K31" s="53">
        <f>IFERROR(J31/4,0)</f>
        <v>28578.375</v>
      </c>
      <c r="L31" s="54" t="s">
        <v>123</v>
      </c>
      <c r="M31" s="1" t="s">
        <v>414</v>
      </c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4.0</v>
      </c>
      <c r="H32" s="51">
        <f>IFERROR(F32*G32,0)</f>
        <v>40.0</v>
      </c>
      <c r="I32" s="51">
        <f t="array" ref="I32">IFERROR(INDEX('Tasas de Cambio'!$E$11:$E$15,MATCH(E32,'Tasas de Cambio'!$B$11:$B$15,0)),0)</f>
        <v>3810.45</v>
      </c>
      <c r="J32" s="52">
        <f>IFERROR(H32*I32,0)</f>
        <v>152418.0</v>
      </c>
      <c r="K32" s="53">
        <f>IFERROR(J32/4,0)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 t="s">
        <v>417</v>
      </c>
      <c r="D33" s="32" t="s">
        <v>449</v>
      </c>
      <c r="E33" s="33" t="s">
        <v>12</v>
      </c>
      <c r="F33" s="34">
        <v>12.0</v>
      </c>
      <c r="G33" s="33">
        <v>4.0</v>
      </c>
      <c r="H33" s="51">
        <f>IFERROR(F33*G33,0)</f>
        <v>48.0</v>
      </c>
      <c r="I33" s="51">
        <f t="array" ref="I33">IFERROR(INDEX('Tasas de Cambio'!$E$11:$E$15,MATCH(E33,'Tasas de Cambio'!$B$11:$B$15,0)),0)</f>
        <v>3810.45</v>
      </c>
      <c r="J33" s="52">
        <f>IFERROR(H33*I33,0)</f>
        <v>182901.59999999998</v>
      </c>
      <c r="K33" s="53">
        <f>IFERROR(J33/4,0)</f>
        <v>45725.399999999994</v>
      </c>
      <c r="L33" s="54" t="s">
        <v>450</v>
      </c>
      <c r="M33" s="1" t="s">
        <v>414</v>
      </c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4.0</v>
      </c>
      <c r="H34" s="51">
        <f>IFERROR(F34*G34,0)</f>
        <v>40.0</v>
      </c>
      <c r="I34" s="51">
        <f t="array" ref="I34">IFERROR(INDEX('Tasas de Cambio'!$E$11:$E$15,MATCH(E34,'Tasas de Cambio'!$B$11:$B$15,0)),0)</f>
        <v>3270.75</v>
      </c>
      <c r="J34" s="52">
        <f>IFERROR(H34*I34,0)</f>
        <v>130830.0</v>
      </c>
      <c r="K34" s="53">
        <f>IFERROR(J34/4,0)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4.0</v>
      </c>
      <c r="H38" s="51">
        <f>IFERROR(F38*G38,0)</f>
        <v>100.0</v>
      </c>
      <c r="I38" s="51">
        <f t="array" ref="I38">IFERROR(INDEX('Tasas de Cambio'!$E$11:$E$15,MATCH(E38,'Tasas de Cambio'!$B$11:$B$15,0)),0)</f>
        <v>3810.45</v>
      </c>
      <c r="J38" s="52">
        <f>IFERROR(H38*I38,0)</f>
        <v>381045.0</v>
      </c>
      <c r="K38" s="53">
        <f>IFERROR(J38/4,0)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4.0</v>
      </c>
      <c r="H39" s="51">
        <f>IFERROR(F39*G39,0)</f>
        <v>100.0</v>
      </c>
      <c r="I39" s="51">
        <f t="array" ref="I39">IFERROR(INDEX('Tasas de Cambio'!$E$11:$E$15,MATCH(E39,'Tasas de Cambio'!$B$11:$B$15,0)),0)</f>
        <v>3810.45</v>
      </c>
      <c r="J39" s="52">
        <f>IFERROR(H39*I39,0)</f>
        <v>381045.0</v>
      </c>
      <c r="K39" s="53">
        <f>IFERROR(J39/4,0)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