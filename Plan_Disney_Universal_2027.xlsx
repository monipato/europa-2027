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Grupo A" sheetId="2" state="visible" r:id="rId4"/>
    <sheet name="Grupo B" sheetId="3" state="visible" r:id="rId5"/>
    <sheet name="Itinerario Grupo A" sheetId="4" state="visible" r:id="rId6"/>
    <sheet name="Itinerario Grupo B" sheetId="5" state="visible" r:id="rId7"/>
    <sheet name="Hotel — Opciones económica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<sst xmlns="http://schemas.openxmlformats.org/spreadsheetml/2006/main" count="388" uniqueCount="220">
  <si>
    <t xml:space="preserve">PLAN DISNEY WORLD + UNIVERSAL + EPIC UNIVERSE — SEMANA SANTA 2027</t>
  </si>
  <si>
    <t xml:space="preserve">Fechas</t>
  </si>
  <si>
    <t xml:space="preserve">Sáb 20 mar 2027 → Dom 28 mar 2027 (8 noches)</t>
  </si>
  <si>
    <t xml:space="preserve">Origen</t>
  </si>
  <si>
    <t xml:space="preserve">Bogotá (BOG) → Orlando (MCO)</t>
  </si>
  <si>
    <t xml:space="preserve">Grupo total</t>
  </si>
  <si>
    <t xml:space="preserve">8 personas: 5 adultos + niños de 13, 9 y 7 años</t>
  </si>
  <si>
    <t xml:space="preserve">Tasa de cambio (TRM aprox.)</t>
  </si>
  <si>
    <t xml:space="preserve">Banco de la República, TRM ~sep-2026. Fluctúa a diario — ajustar antes de usar.</t>
  </si>
  <si>
    <t xml:space="preserve">COMPOSICIÓN DE LOS 2 GRUPOS / HABITACIONES</t>
  </si>
  <si>
    <t xml:space="preserve">Grupo A — Hab. 2</t>
  </si>
  <si>
    <t xml:space="preserve">Grupo B — Hab. 1</t>
  </si>
  <si>
    <t xml:space="preserve">Integrantes</t>
  </si>
  <si>
    <t xml:space="preserve">3 adultos + niño de 7 años</t>
  </si>
  <si>
    <t xml:space="preserve">2 adultos + niños de 9 y 13 años</t>
  </si>
  <si>
    <t xml:space="preserve">RESUMEN DE COSTOS POR GRUPO (USD)</t>
  </si>
  <si>
    <t xml:space="preserve">Concepto</t>
  </si>
  <si>
    <t xml:space="preserve">Grupo A (USD)</t>
  </si>
  <si>
    <t xml:space="preserve">Grupo B (USD)</t>
  </si>
  <si>
    <t xml:space="preserve">TOTAL (USD)</t>
  </si>
  <si>
    <t xml:space="preserve">Link de reserva</t>
  </si>
  <si>
    <t xml:space="preserve">Vuelos (Bogotá ⇄ Orlando)</t>
  </si>
  <si>
    <t xml:space="preserve">Avianca — reservar</t>
  </si>
  <si>
    <t xml:space="preserve">Hotel (8 noches, DoubleTree Suites)</t>
  </si>
  <si>
    <t xml:space="preserve">DoubleTree — reservar</t>
  </si>
  <si>
    <t xml:space="preserve">Tickets Disney World (4 días)</t>
  </si>
  <si>
    <t xml:space="preserve">Disney — comprar tickets</t>
  </si>
  <si>
    <t xml:space="preserve">Tickets Universal (Studios+IOA, 1 día)</t>
  </si>
  <si>
    <t xml:space="preserve">Universal — comprar tickets</t>
  </si>
  <si>
    <t xml:space="preserve">Tickets Epic Universe (1 día)</t>
  </si>
  <si>
    <t xml:space="preserve">Universal — Epic Universe</t>
  </si>
  <si>
    <t xml:space="preserve">Comida (8 días)</t>
  </si>
  <si>
    <t xml:space="preserve">Transporte local / extras</t>
  </si>
  <si>
    <t xml:space="preserve">TOTAL POR GRUPO (USD)</t>
  </si>
  <si>
    <t xml:space="preserve">MISMO RESUMEN EN PESOS COLOMBIANOS (COP)</t>
  </si>
  <si>
    <t xml:space="preserve">Grupo A (COP)</t>
  </si>
  <si>
    <t xml:space="preserve">Grupo B (COP)</t>
  </si>
  <si>
    <t xml:space="preserve">TOTAL (COP)</t>
  </si>
  <si>
    <t xml:space="preserve">TOTAL POR GRUPO (COP)</t>
  </si>
  <si>
    <t xml:space="preserve">Costo por persona — Grupo A (÷4)</t>
  </si>
  <si>
    <t xml:space="preserve">Costo por persona — Grupo B (÷4)</t>
  </si>
  <si>
    <t xml:space="preserve">TOTAL VIAJE — 8 PERSONAS — EN DÓLARES (USD)</t>
  </si>
  <si>
    <t xml:space="preserve">TOTAL VIAJE — 8 PERSONAS — EN PESOS COLOMBIANOS (COP)</t>
  </si>
  <si>
    <t xml:space="preserve">Links de reserva rápida</t>
  </si>
  <si>
    <t xml:space="preserve">Vuelos Avianca Bogotá-Orlando</t>
  </si>
  <si>
    <t xml:space="preserve">Abrir →</t>
  </si>
  <si>
    <t xml:space="preserve">Hotel DoubleTree Suites</t>
  </si>
  <si>
    <t xml:space="preserve">Tickets Disney World</t>
  </si>
  <si>
    <t xml:space="preserve">Tickets Universal Studios + Islands of Adventure</t>
  </si>
  <si>
    <t xml:space="preserve">Tickets Universal Epic Universe</t>
  </si>
  <si>
    <t xml:space="preserve">Notas y fuentes</t>
  </si>
  <si>
    <t xml:space="preserve">• Se agregó un día completo en Universal Epic Universe (4to parque de Universal, abierto desde mayo 2025), separado del día de Universal Studios + Islands of Adventure.</t>
  </si>
  <si>
    <t xml:space="preserve">• Todo el presupuesto está separado por grupo/habitación en las pestañas 'Grupo A' y 'Grupo B'. Esta hoja solo consolida los totales, en USD y en COP.</t>
  </si>
  <si>
    <t xml:space="preserve">• La conversión a COP usa la tasa ingresada arriba (Tasa de cambio). Es aproximada y cambia a diario — verificar la TRM vigente antes de reservar.</t>
  </si>
  <si>
    <t xml:space="preserve">• Avianca publica una tarifa 'desde' de referencia de 1.762.740 COP ida y vuelta en la ruta Bogotá-Orlando (no es la tarifa específica de Semana Santa 2027).</t>
  </si>
  <si>
    <t xml:space="preserve">• Todos los precios son ESTIMACIONES sobre tarifas públicas vigentes a sep-2026 para temporada 'Easter 2027' (19 mar - 1 abr). Confirmar con los links antes de reservar.</t>
  </si>
  <si>
    <t xml:space="preserve">• Celdas en AZUL = dato ingresado (ajustable). Celdas en NEGRO = fórmula. Columna final = link directo de reserva/compra.</t>
  </si>
  <si>
    <t xml:space="preserve">PRESUPUESTO — GRUPO A — 3 adultos + niño de 7 años (Habitación 2)</t>
  </si>
  <si>
    <t xml:space="preserve">Habitación 2: 3 adultos + niño de 7 años</t>
  </si>
  <si>
    <t xml:space="preserve">VUELOS — Bogotá (BOG) ⇄ Orlando (MCO)</t>
  </si>
  <si>
    <t xml:space="preserve">Persona</t>
  </si>
  <si>
    <t xml:space="preserve">Edad/tipo</t>
  </si>
  <si>
    <t xml:space="preserve">Ida+Vuelta (USD)</t>
  </si>
  <si>
    <t xml:space="preserve">Cant.</t>
  </si>
  <si>
    <t xml:space="preserve">Subtotal</t>
  </si>
  <si>
    <t xml:space="preserve">Reserva</t>
  </si>
  <si>
    <t xml:space="preserve">Adultos (incluye 13 años si aplica)</t>
  </si>
  <si>
    <t xml:space="preserve">Adulto</t>
  </si>
  <si>
    <t xml:space="preserve">Niños</t>
  </si>
  <si>
    <t xml:space="preserve">Niño (7)</t>
  </si>
  <si>
    <t xml:space="preserve">Nota: Avianca publica tarifa 'desde' $505/tramo en ruta actual BOG-MCO; Frontier lanza vuelo directo diario desde mar-2027. Estimamos $680 pp ida+vuelta para temporada pico (Semana Santa).</t>
  </si>
  <si>
    <t xml:space="preserve">SUBTOTAL VUELOS</t>
  </si>
  <si>
    <t xml:space="preserve">HOTEL — DoubleTree Suites by Hilton, Disney Springs Area (1-Bedroom Suite)</t>
  </si>
  <si>
    <t xml:space="preserve">Tarifa/noche</t>
  </si>
  <si>
    <t xml:space="preserve">Adultos extra</t>
  </si>
  <si>
    <t xml:space="preserve">Cargo extra/noche</t>
  </si>
  <si>
    <t xml:space="preserve">Noches</t>
  </si>
  <si>
    <t xml:space="preserve">1-Bedroom Suite (king/2 queens + sofá cama) — Habitación 2: 3 adultos + niño de 7 años</t>
  </si>
  <si>
    <t xml:space="preserve">Hotel oficial 'Disney Springs Resort Area' (Good Neighbor): aunque no es propiedad de Disney, incluye shuttle GRATIS a los 4 parques Disney + early park access, igual que un resort Disney — no necesita Uber para esos días. Calificación 8.2/10 'Muy bueno' (921 reseñas), 4 estrellas. Tarifa pico estimada sobre base $98-169/noche fuera de temporada alta (Kayak/Priceline). Suite duerme hasta 4-5.</t>
  </si>
  <si>
    <t xml:space="preserve">SUBTOTAL HOTEL (8 noches)</t>
  </si>
  <si>
    <t xml:space="preserve">TICKETS DISNEY WORLD — 4 días, 1 parque/día, sin Park Hopper</t>
  </si>
  <si>
    <t xml:space="preserve">Precio unit.</t>
  </si>
  <si>
    <t xml:space="preserve">Adultos (10+, incluye 13 años)</t>
  </si>
  <si>
    <t xml:space="preserve">Disney — comprar</t>
  </si>
  <si>
    <t xml:space="preserve">Niños (3-9)</t>
  </si>
  <si>
    <t xml:space="preserve">Fuente: tabla oficial de temporada pico (MouseSavers). El de 13 años paga tarifa adulto (10+).</t>
  </si>
  <si>
    <t xml:space="preserve">SUBTOTAL TICKETS DISNEY</t>
  </si>
  <si>
    <t xml:space="preserve">TICKETS UNIVERSAL — Studios + Islands of Adventure, 1 día Park-to-Park</t>
  </si>
  <si>
    <t xml:space="preserve">Adultos (incluye 13 años)</t>
  </si>
  <si>
    <t xml:space="preserve">Universal — comprar</t>
  </si>
  <si>
    <t xml:space="preserve">Fuente: Undercover Tourist, 1-Day 2-Park Park-to-Park. No incluye Epic Universe (ticket aparte abajo).</t>
  </si>
  <si>
    <t xml:space="preserve">SUBTOTAL TICKETS UNIVERSAL</t>
  </si>
  <si>
    <t xml:space="preserve">TICKETS EPIC UNIVERSE — 1 día, 1 parque</t>
  </si>
  <si>
    <t xml:space="preserve">Epic Universe — comprar</t>
  </si>
  <si>
    <t xml:space="preserve">Fuente: ticket oficial 1-Day Epic Universe observado a $206.27 adulto (dato real, fecha no-pico); en Semana Santa puede ser más alto. Niño estimado a ~97% del adulto (ratio Universal).</t>
  </si>
  <si>
    <t xml:space="preserve">SUBTOTAL TICKETS EPIC UNIVERSE</t>
  </si>
  <si>
    <t xml:space="preserve">COMIDA — 8 días</t>
  </si>
  <si>
    <t xml:space="preserve">Costo/persona/día</t>
  </si>
  <si>
    <t xml:space="preserve">Personas</t>
  </si>
  <si>
    <t xml:space="preserve">Subtotal 8 días</t>
  </si>
  <si>
    <t xml:space="preserve">SUBTOTAL COMIDA</t>
  </si>
  <si>
    <t xml:space="preserve">TRANSPORTE LOCAL Y EXTRAS</t>
  </si>
  <si>
    <t xml:space="preserve">Costo (USD)</t>
  </si>
  <si>
    <t xml:space="preserve">Uber/taxi ida y vuelta — Universal + Epic Universe (2 días; Disney va en shuttle gratis)</t>
  </si>
  <si>
    <t xml:space="preserve">PhotoPass / fotos</t>
  </si>
  <si>
    <t xml:space="preserve">Souvenirs (estimado)</t>
  </si>
  <si>
    <t xml:space="preserve">Propinas y varios</t>
  </si>
  <si>
    <t xml:space="preserve">SUBTOTAL EXTRAS</t>
  </si>
  <si>
    <t xml:space="preserve">TOTAL GRUPO A — 3 adultos + niño de 7 años (Habitación 2)</t>
  </si>
  <si>
    <t xml:space="preserve">PRESUPUESTO — GRUPO B — 2 adultos + niños de 9 y 13 años (Habitación 1)</t>
  </si>
  <si>
    <t xml:space="preserve">Habitación 1: 2 adultos + niños de 9 y 13 años</t>
  </si>
  <si>
    <t xml:space="preserve">Niño (9); 13 años = tarifa adulto</t>
  </si>
  <si>
    <t xml:space="preserve">1-Bedroom Suite (king/2 queens + sofá cama) — Habitación 1: 2 adultos + niños de 9 y 13 años</t>
  </si>
  <si>
    <t xml:space="preserve">TOTAL GRUPO B — 2 adultos + niños de 9 y 13 años (Habitación 1)</t>
  </si>
  <si>
    <t xml:space="preserve">ITINERARIO — Grupo A — 3 adultos + niño de 7 años</t>
  </si>
  <si>
    <t xml:space="preserve">Habitación 2: 3 adultos + niño de 7 años. Ritmo tranquilo, atracciones sin restricción de altura como base.</t>
  </si>
  <si>
    <t xml:space="preserve">Día</t>
  </si>
  <si>
    <t xml:space="preserve">Fecha</t>
  </si>
  <si>
    <t xml:space="preserve">Parque / Actividad</t>
  </si>
  <si>
    <t xml:space="preserve">Plan recomendado para este subgrupo</t>
  </si>
  <si>
    <t xml:space="preserve">Nota de altura/edad</t>
  </si>
  <si>
    <t xml:space="preserve">Sáb 20 mar</t>
  </si>
  <si>
    <t xml:space="preserve">Llegada + check-in</t>
  </si>
  <si>
    <t xml:space="preserve">Día libre en familia — pileta del resort, Disney Springs, descanso. Sin plan de parque.</t>
  </si>
  <si>
    <t xml:space="preserve">Dom 21 mar</t>
  </si>
  <si>
    <t xml:space="preserve">Magic Kingdom</t>
  </si>
  <si>
    <t xml:space="preserve">• Mañana: Seven Dwarfs Mine Train (38"), Peter Pan's Flight, Jungle Cruise, it's a small world
• Mediodía: Casey Jr. Splash 'N' Soak, almuerzo en Main Street
• Tarde: The Barnstormer (35"), Philharmonic, Enchanted Tiki Room
• Noche: desfile / fuegos artificiales desde Main Street</t>
  </si>
  <si>
    <t xml:space="preserve">Mayoría de atracciones de MK no tienen requisito de altura.</t>
  </si>
  <si>
    <t xml:space="preserve">Lun 22 mar</t>
  </si>
  <si>
    <t xml:space="preserve">EPCOT</t>
  </si>
  <si>
    <t xml:space="preserve">• Mañana: Frozen Ever After, The Seas with Nemo &amp; Friends, Turtle Talk with Crush
• Mediodía: Journey of Water, Kidcot stops en World Showcase
• Tarde: Recorrido por pabellones, snacks internacionales
• Evitar: Guardians of the Galaxy (42"), Test Track (40") salvo que el niño llegue a esa altura</t>
  </si>
  <si>
    <t xml:space="preserve">Frozen Ever After y The Seas no tienen requisito de altura.</t>
  </si>
  <si>
    <t xml:space="preserve">Mar 23 mar</t>
  </si>
  <si>
    <t xml:space="preserve">Universal Studios + Islands of Adventure</t>
  </si>
  <si>
    <t xml:space="preserve">• Mañana: Camp Jurassic, Caro-Seuss-el, Cat in the Hat (36"), One Fish Two Fish
• Mediodía: Wizarding World Hogsmeade (tienda de varitas, Butterbeer)
• Tarde: Hogwarts Express (sin restricción), show de personajes
• Nota: Hagrid's (48") y VelociCoaster (51") no disponibles para 7 años típico</t>
  </si>
  <si>
    <t xml:space="preserve">Universal es más intenso que Disney en general.</t>
  </si>
  <si>
    <t xml:space="preserve">Mié 24 mar</t>
  </si>
  <si>
    <t xml:space="preserve">Hollywood Studios</t>
  </si>
  <si>
    <t xml:space="preserve">• Mañana: Slinky Dog Dash (38"), Toy Story Mania
• Mediodía: Mickey and Minnie's Runaway Railway, Muppets Vision 3D
• Tarde: Star Tours, Disney Junior show
• Noche: Fantasmic (si el horario lo permite)</t>
  </si>
  <si>
    <t xml:space="preserve">Toy Story Land es el sector ideal para esta edad.</t>
  </si>
  <si>
    <t xml:space="preserve">Jue 25 mar</t>
  </si>
  <si>
    <t xml:space="preserve">Universal Epic Universe</t>
  </si>
  <si>
    <t xml:space="preserve">• Mañana: Yoshi's Adventure (34", sin acompañante), Mine-Cart Madness (36"/48" solo)
• Mediodía: Constellation Carousel (sin restricción), Dragon Racer's Rally (36")
• Tarde: Fyre Drill (sin restricción, se mojan), Power-Up Bands interactivas en Super Nintendo World
• Evitar: Stardust Racers (42"), Monsters Unchained (48"), Hiccup's Wing Gliders (40")</t>
  </si>
  <si>
    <t xml:space="preserve">Super Nintendo World e Isle of Berk son las zonas más accesibles del parque para 7 años.</t>
  </si>
  <si>
    <t xml:space="preserve">Vie 26 mar</t>
  </si>
  <si>
    <t xml:space="preserve">Animal Kingdom</t>
  </si>
  <si>
    <t xml:space="preserve">• Mañana: Kilimanjaro Safaris (sin restricción), Na'vi River Journey (sin restricción)
• Mediodía: The Boneyard, Finding Nemo show
• Tarde: Gorilla Falls / Maharajah Jungle Trek, Festival of the Lion King
• Si mide 44"+: Avatar Flight of Passage junto al Grupo B</t>
  </si>
  <si>
    <t xml:space="preserve">Uno de los mejores parques para esta edad.</t>
  </si>
  <si>
    <t xml:space="preserve">Sáb 27 mar</t>
  </si>
  <si>
    <t xml:space="preserve">Día libre / compras / pileta</t>
  </si>
  <si>
    <t xml:space="preserve">Dom 28 mar</t>
  </si>
  <si>
    <t xml:space="preserve">Check-out + vuelo a Bogotá</t>
  </si>
  <si>
    <t xml:space="preserve">Check-out, traslado al aeropuerto, vuelo de regreso a Bogotá.</t>
  </si>
  <si>
    <t xml:space="preserve">Fuentes: alturas mínimas según Disney/Universal (TouringPlans, MagicGuides, ThrillZing, NBC Insider, DeepArrival — consultadas sep-2026). Verificar altura real de cada niño antes del viaje.</t>
  </si>
  <si>
    <t xml:space="preserve">ITINERARIO — Grupo B — 2 adultos + niños de 9 y 13 años</t>
  </si>
  <si>
    <t xml:space="preserve">Habitación 1: 2 adultos + niños de 9 y 13 años. Más thrill rides; el de 13 con creciente autonomía.</t>
  </si>
  <si>
    <t xml:space="preserve">• Mañana: Space Mountain (44"), TRON Lightcycle / Run (48"), Big Thunder Mountain
• Mediodía: Seven Dwarfs Mine Train, Pirates of the Caribbean, Haunted Mansion
• Tarde: Tiana's Bayou Adventure (40"), Tomorrowland Speedway (13 años puede manejar solo, 54")
• Noche: fuegos artificiales cerca del castillo</t>
  </si>
  <si>
    <t xml:space="preserve">TRON requiere 48" — verificar altura del de 9 años.</t>
  </si>
  <si>
    <t xml:space="preserve">• Mañana: Guardians of the Galaxy: Cosmic Rewind (42"), Test Track (40")
• Mediodía: Mission: SPACE, Soarin'
• Tarde: World Showcase con más autonomía para el de 13</t>
  </si>
  <si>
    <t xml:space="preserve">El de 13 ya disfruta la parte cultural de World Showcase.</t>
  </si>
  <si>
    <t xml:space="preserve">• Mañana: VelociCoaster (51"), Jurassic World, Hagrid's Magical Creatures Motorbike Adventure (48")
• Mediodía: The Amazing Adventures of Spider-Man (40"), Hollywood Rip Ride Rockit (51")
• Tarde: Harry Potter and the Forbidden Journey, Escape from Gringotts</t>
  </si>
  <si>
    <t xml:space="preserve">Si el de 9 no llega a 48-51", usar Child Swap / Single Rider.</t>
  </si>
  <si>
    <t xml:space="preserve">• Mañana: Rise of the Resistance, Millennium Falcon: Smugglers Run
• Mediodía: Tower of Terror, Rock 'n' Roller Coaster
• Tarde: Toy Story Land, Star Tours
• Noche: Fantasmic</t>
  </si>
  <si>
    <t xml:space="preserve">Galaxy's Edge es el sector estrella para el de 13.</t>
  </si>
  <si>
    <t xml:space="preserve">• Mañana: Stardust Racers (42", coaster insignia), Harry Potter and the Battle at the Ministry (40")
• Mediodía: Monsters Unchained (48"), Curse of the Werewolf (40")
• Tarde: Hiccup's Wing Gliders (40"), Mario Kart: Bowser's Challenge (40")
• El de 9 puede necesitar Child Swap en Stardust Racers/Monsters Unchained (48"+)</t>
  </si>
  <si>
    <t xml:space="preserve">Stardust Racers y Battle at the Ministry son de lo más esperado del parque.</t>
  </si>
  <si>
    <t xml:space="preserve">• Mañana: Avatar Flight of Passage (44"), Expedition Everest (44")
• Mediodía: Kali River Rapids (38", se mojan), Kilimanjaro Safaris junto a la familia
• Tarde: Na'vi River Journey, Dinosaur (40")</t>
  </si>
  <si>
    <t xml:space="preserve">Expedition Everest y Flight of Passage son de lo mejor del parque para esta edad.</t>
  </si>
  <si>
    <t xml:space="preserve">HOTEL — COMPARACIÓN DE OPCIONES (2 habitaciones, 8 noches)</t>
  </si>
  <si>
    <t xml:space="preserve">La Opción 1 (Art of Animation) es la que ya está usada en 'Grupo A' y 'Grupo B'. Estas son alternativas más económicas para comparar — no reemplazan los números del resto de la planilla.</t>
  </si>
  <si>
    <t xml:space="preserve">Disney's Art of Animation</t>
  </si>
  <si>
    <t xml:space="preserve">DoubleTree Suites by Hilton — Disney Springs Area</t>
  </si>
  <si>
    <t xml:space="preserve">Holiday Inn Resort Orlando Suites — Waterpark</t>
  </si>
  <si>
    <t xml:space="preserve">Tipo de propiedad</t>
  </si>
  <si>
    <t xml:space="preserve">Resort oficial Disney (dentro del parque)</t>
  </si>
  <si>
    <t xml:space="preserve">Hotel 'Good Neighbor' oficial — a 1 milla de Disney Springs</t>
  </si>
  <si>
    <t xml:space="preserve">Hotel independiente 'Good Neighbor' — a 1 milla de Disney World</t>
  </si>
  <si>
    <t xml:space="preserve">Calificación</t>
  </si>
  <si>
    <t xml:space="preserve">No aplica (propiedad Disney)</t>
  </si>
  <si>
    <t xml:space="preserve">8.2 / 10 — 'Muy bueno' (921 reseñas, Kayak/Hilton)</t>
  </si>
  <si>
    <t xml:space="preserve">6.5-7.8 / 10 — 'Bueno' (5,405 reseñas, Hotels.com/Kayak)</t>
  </si>
  <si>
    <t xml:space="preserve">Estrellas</t>
  </si>
  <si>
    <t xml:space="preserve">Value (2 llaves Disney)</t>
  </si>
  <si>
    <t xml:space="preserve">4 estrellas</t>
  </si>
  <si>
    <t xml:space="preserve">3-3.5 estrellas</t>
  </si>
  <si>
    <t xml:space="preserve">Tipo de habitación</t>
  </si>
  <si>
    <t xml:space="preserve">Family Suite (duerme 6): 1 queen + sofá cama + cama abatible</t>
  </si>
  <si>
    <t xml:space="preserve">1-Bedroom Suite (duerme hasta 4-5): king/2 queens + sofá cama</t>
  </si>
  <si>
    <t xml:space="preserve">2-Bedroom Suite (duerme 6): 1 king + litera + sofá cama</t>
  </si>
  <si>
    <t xml:space="preserve">Transporte a parques Disney</t>
  </si>
  <si>
    <t xml:space="preserve">Incluido — bus/monorriel/barco gratis</t>
  </si>
  <si>
    <t xml:space="preserve">Incluido — shuttle gratis + early park access (hotel oficial Disney Springs)</t>
  </si>
  <si>
    <t xml:space="preserve">NO incluido — sin shuttle propio</t>
  </si>
  <si>
    <t xml:space="preserve">Transporte a Universal/Epic Universe</t>
  </si>
  <si>
    <t xml:space="preserve">No incluido (Uber, ~15-20 min)</t>
  </si>
  <si>
    <t xml:space="preserve">Extra: parque acuático propio</t>
  </si>
  <si>
    <t xml:space="preserve">No</t>
  </si>
  <si>
    <t xml:space="preserve">Sí — Surf &amp; Splash Waterpark incluido en la tarifa</t>
  </si>
  <si>
    <t xml:space="preserve">COSTOS (8 noches, 2 habitaciones — Grupo A + Grupo B)</t>
  </si>
  <si>
    <t xml:space="preserve">Opción 1 (USD)</t>
  </si>
  <si>
    <t xml:space="preserve">Opción 2 (USD)</t>
  </si>
  <si>
    <t xml:space="preserve">Opción 3 (USD)</t>
  </si>
  <si>
    <t xml:space="preserve">Tarifa estimada por noche (por habitación, pico Semana Santa)</t>
  </si>
  <si>
    <t xml:space="preserve">Cargo adicional (resort fee / adulto extra) por noche</t>
  </si>
  <si>
    <t xml:space="preserve">Subtotal hotel — 2 habitaciones</t>
  </si>
  <si>
    <t xml:space="preserve">TRANSPORTE ADICIONAL NECESARIO (Uber)</t>
  </si>
  <si>
    <t xml:space="preserve">Días de parque Disney (4 días) — Uber ida y vuelta x2 grupos</t>
  </si>
  <si>
    <t xml:space="preserve">Días Universal + Epic Universe (2 días) — Uber ida y vuelta x2 grupos</t>
  </si>
  <si>
    <t xml:space="preserve">Subtotal transporte adicional</t>
  </si>
  <si>
    <t xml:space="preserve">TOTAL HOTEL + TRANSPORTE</t>
  </si>
  <si>
    <t xml:space="preserve">Ahorro vs. Opción 1</t>
  </si>
  <si>
    <t xml:space="preserve">Links de reserva</t>
  </si>
  <si>
    <t xml:space="preserve">Disney's Art of Animation — reservar</t>
  </si>
  <si>
    <t xml:space="preserve">DoubleTree Suites (Hilton) — reservar</t>
  </si>
  <si>
    <t xml:space="preserve">Holiday Inn Waterpark (IHG) — reservar</t>
  </si>
  <si>
    <t xml:space="preserve">Notas</t>
  </si>
  <si>
    <t xml:space="preserve">• DoubleTree Suites es un hotel oficial de Disney Springs Resort Area: aunque no es propiedad de Disney, da los mismos beneficios de transporte gratis a los 4 parques + early park access — por eso no necesita Uber extra para los días Disney.</t>
  </si>
  <si>
    <t xml:space="preserve">• Holiday Inn Waterpark es más barato pero NO tiene shuttle propio: hay que sumar Uber para TODOS los días de parque (Disney + Universal + Epic Universe), estimado en $35 ida y vuelta por grupo por día.</t>
  </si>
  <si>
    <t xml:space="preserve">• Tarifas de temporada pico (Semana Santa) ESTIMADAS a partir de tarifas base publicadas fuera de temporada alta (no hay calendario oficial de marzo 2027 para estos hoteles todavía) — multiplicador ~2-2.5x aplicado. Confirmar con los links antes de reservar.</t>
  </si>
  <si>
    <t xml:space="preserve">• Esta hoja es solo comparativa — el resto de la planilla ('Resumen', 'Grupo A', 'Grupo B') sigue usando la Opción 1 (Art of Animation). Avisame si querés que cambie los totales a la Opción 2 o 3.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</si>
</sst>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&quot; COP/USD&quot;"/>
    <numFmt numFmtId="166" formatCode="\$#,##0"/>
    <numFmt numFmtId="167" formatCode="\$#,##0&quot; COP&quot;"/>
    <numFmt numFmtId="168" formatCode="\$#,##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u val="single"/>
      <sz val="11"/>
      <color rgb="FF0563C1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4"/>
      <color rgb="FFFFFFFF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0392B"/>
        <bgColor rgb="FF993366"/>
      </patternFill>
    </fill>
    <fill>
      <patternFill patternType="solid">
        <fgColor rgb="FF2E86C1"/>
        <bgColor rgb="FF008080"/>
      </patternFill>
    </fill>
    <fill>
      <patternFill patternType="solid">
        <fgColor rgb="FFFFD966"/>
        <bgColor rgb="FFFFFF99"/>
      </patternFill>
    </fill>
    <fill>
      <patternFill patternType="solid">
        <fgColor rgb="FFFADBD8"/>
        <bgColor rgb="FFD9E1F2"/>
      </patternFill>
    </fill>
    <fill>
      <patternFill patternType="solid">
        <fgColor rgb="FFD9E1F2"/>
        <bgColor rgb="FFD6EAF8"/>
      </patternFill>
    </fill>
    <fill>
      <patternFill patternType="solid">
        <fgColor rgb="FFD6EAF8"/>
        <bgColor rgb="FFD9E1F2"/>
      </patternFill>
    </fill>
    <fill>
      <patternFill patternType="solid">
        <fgColor rgb="FF1E8449"/>
        <bgColor rgb="FF008080"/>
      </patternFill>
    </fill>
    <fill>
      <patternFill patternType="solid">
        <fgColor rgb="FFD5F5E3"/>
        <bgColor rgb="FFD6EAF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5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8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ADBD8"/>
      <rgbColor rgb="FFD6EAF8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F5E3"/>
      <rgbColor rgb="FFFFFF99"/>
      <rgbColor rgb="FF99CCFF"/>
      <rgbColor rgb="FFFF99CC"/>
      <rgbColor rgb="FFCC99FF"/>
      <rgbColor rgb="FFFFD966"/>
      <rgbColor rgb="FF2E86C1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1E8449"/>
      <rgbColor rgb="FF003300"/>
      <rgbColor rgb="FF333300"/>
      <rgbColor rgb="FFC0392B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avianca.com/co/es/vuelos-desde-bogota-a-orlando" TargetMode="External"/><Relationship Id="rId2" Type="http://schemas.openxmlformats.org/officeDocument/2006/relationships/hyperlink" Target="https://www.hilton.com/en/hotels/mcofhdt-doubletree-suites-orlando-disney-springs/" TargetMode="External"/><Relationship Id="rId3" Type="http://schemas.openxmlformats.org/officeDocument/2006/relationships/hyperlink" Target="https://disneyworld.disney.go.com/admission/tickets/" TargetMode="External"/><Relationship Id="rId4" Type="http://schemas.openxmlformats.org/officeDocument/2006/relationships/hyperlink" Target="https://www.universalorlando.com/web/en/us/tickets-packages/park-tickets" TargetMode="External"/><Relationship Id="rId5" Type="http://schemas.openxmlformats.org/officeDocument/2006/relationships/hyperlink" Target="https://www.universalorlando.com/web/en/us/tickets-packages/park-tickets/epic-products" TargetMode="External"/><Relationship Id="rId6" Type="http://schemas.openxmlformats.org/officeDocument/2006/relationships/hyperlink" Target="https://www.avianca.com/co/es/vuelos-desde-bogota-a-orlando" TargetMode="External"/><Relationship Id="rId7" Type="http://schemas.openxmlformats.org/officeDocument/2006/relationships/hyperlink" Target="https://www.hilton.com/en/hotels/mcofhdt-doubletree-suites-orlando-disney-springs/" TargetMode="External"/><Relationship Id="rId8" Type="http://schemas.openxmlformats.org/officeDocument/2006/relationships/hyperlink" Target="https://disneyworld.disney.go.com/resorts/art-of-animation-resort/rates-rooms/" TargetMode="External"/><Relationship Id="rId9" Type="http://schemas.openxmlformats.org/officeDocument/2006/relationships/hyperlink" Target="https://disneyworld.disney.go.com/admission/tickets/" TargetMode="External"/><Relationship Id="rId10" Type="http://schemas.openxmlformats.org/officeDocument/2006/relationships/hyperlink" Target="https://www.universalorlando.com/web/en/us/tickets-packages/park-tickets" TargetMode="External"/><Relationship Id="rId11" Type="http://schemas.openxmlformats.org/officeDocument/2006/relationships/hyperlink" Target="https://www.universalorlando.com/web/en/us/tickets-packages/park-tickets/epic-products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avianca.com/co/es/vuelos-desde-bogota-a-orlando" TargetMode="External"/><Relationship Id="rId2" Type="http://schemas.openxmlformats.org/officeDocument/2006/relationships/hyperlink" Target="https://www.avianca.com/co/es/vuelos-desde-bogota-a-orlando" TargetMode="External"/><Relationship Id="rId3" Type="http://schemas.openxmlformats.org/officeDocument/2006/relationships/hyperlink" Target="https://www.hilton.com/en/hotels/mcofhdt-doubletree-suites-orlando-disney-springs/" TargetMode="External"/><Relationship Id="rId4" Type="http://schemas.openxmlformats.org/officeDocument/2006/relationships/hyperlink" Target="https://disneyworld.disney.go.com/admission/tickets/" TargetMode="External"/><Relationship Id="rId5" Type="http://schemas.openxmlformats.org/officeDocument/2006/relationships/hyperlink" Target="https://disneyworld.disney.go.com/admission/tickets/" TargetMode="External"/><Relationship Id="rId6" Type="http://schemas.openxmlformats.org/officeDocument/2006/relationships/hyperlink" Target="https://www.universalorlando.com/web/en/us/tickets-packages/park-tickets" TargetMode="External"/><Relationship Id="rId7" Type="http://schemas.openxmlformats.org/officeDocument/2006/relationships/hyperlink" Target="https://www.universalorlando.com/web/en/us/tickets-packages/park-tickets" TargetMode="External"/><Relationship Id="rId8" Type="http://schemas.openxmlformats.org/officeDocument/2006/relationships/hyperlink" Target="https://www.universalorlando.com/web/en/us/tickets-packages/park-tickets/epic-products" TargetMode="External"/><Relationship Id="rId9" Type="http://schemas.openxmlformats.org/officeDocument/2006/relationships/hyperlink" Target="https://www.universalorlando.com/web/en/us/tickets-packages/park-tickets/epic-products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avianca.com/co/es/vuelos-desde-bogota-a-orlando" TargetMode="External"/><Relationship Id="rId2" Type="http://schemas.openxmlformats.org/officeDocument/2006/relationships/hyperlink" Target="https://www.avianca.com/co/es/vuelos-desde-bogota-a-orlando" TargetMode="External"/><Relationship Id="rId3" Type="http://schemas.openxmlformats.org/officeDocument/2006/relationships/hyperlink" Target="https://www.hilton.com/en/hotels/mcofhdt-doubletree-suites-orlando-disney-springs/" TargetMode="External"/><Relationship Id="rId4" Type="http://schemas.openxmlformats.org/officeDocument/2006/relationships/hyperlink" Target="https://disneyworld.disney.go.com/admission/tickets/" TargetMode="External"/><Relationship Id="rId5" Type="http://schemas.openxmlformats.org/officeDocument/2006/relationships/hyperlink" Target="https://disneyworld.disney.go.com/admission/tickets/" TargetMode="External"/><Relationship Id="rId6" Type="http://schemas.openxmlformats.org/officeDocument/2006/relationships/hyperlink" Target="https://www.universalorlando.com/web/en/us/tickets-packages/park-tickets" TargetMode="External"/><Relationship Id="rId7" Type="http://schemas.openxmlformats.org/officeDocument/2006/relationships/hyperlink" Target="https://www.universalorlando.com/web/en/us/tickets-packages/park-tickets" TargetMode="External"/><Relationship Id="rId8" Type="http://schemas.openxmlformats.org/officeDocument/2006/relationships/hyperlink" Target="https://www.universalorlando.com/web/en/us/tickets-packages/park-tickets/epic-products" TargetMode="External"/><Relationship Id="rId9" Type="http://schemas.openxmlformats.org/officeDocument/2006/relationships/hyperlink" Target="https://www.universalorlando.com/web/en/us/tickets-packages/park-tickets/epic-products" TargetMode="Externa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disneyworld.disney.go.com/resorts/art-of-animation-resort/rates-rooms/" TargetMode="External"/><Relationship Id="rId2" Type="http://schemas.openxmlformats.org/officeDocument/2006/relationships/hyperlink" Target="https://www.hilton.com/en/hotels/mcofhdt-doubletree-suites-orlando-disney-springs/" TargetMode="External"/><Relationship Id="rId3" Type="http://schemas.openxmlformats.org/officeDocument/2006/relationships/hyperlink" Target="https://www.ihg.com/holidayinnresorts/hotels/us/en/orlando/disfs/hoteldetai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4" min="2" style="1" width="16"/>
    <col collapsed="false" customWidth="true" hidden="false" outlineLevel="0" max="5" min="5" style="1" width="26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</row>
    <row r="3" customFormat="false" ht="15" hidden="false" customHeight="true" outlineLevel="0" collapsed="false">
      <c r="A3" s="3" t="s">
        <v>1</v>
      </c>
      <c r="B3" s="4" t="s">
        <v>2</v>
      </c>
      <c r="C3" s="4"/>
      <c r="D3" s="4"/>
      <c r="E3" s="4"/>
    </row>
    <row r="4" customFormat="false" ht="15" hidden="false" customHeight="true" outlineLevel="0" collapsed="false">
      <c r="A4" s="3" t="s">
        <v>3</v>
      </c>
      <c r="B4" s="4" t="s">
        <v>4</v>
      </c>
      <c r="C4" s="4"/>
      <c r="D4" s="4"/>
      <c r="E4" s="4"/>
    </row>
    <row r="5" customFormat="false" ht="15" hidden="false" customHeight="true" outlineLevel="0" collapsed="false">
      <c r="A5" s="3" t="s">
        <v>5</v>
      </c>
      <c r="B5" s="4" t="s">
        <v>6</v>
      </c>
      <c r="C5" s="4"/>
      <c r="D5" s="4"/>
      <c r="E5" s="4"/>
    </row>
    <row r="6" customFormat="false" ht="15" hidden="false" customHeight="true" outlineLevel="0" collapsed="false">
      <c r="A6" s="3" t="s">
        <v>7</v>
      </c>
      <c r="B6" s="5" t="n">
        <v>3120</v>
      </c>
      <c r="C6" s="6" t="s">
        <v>8</v>
      </c>
      <c r="D6" s="6"/>
      <c r="E6" s="6"/>
    </row>
    <row r="8" customFormat="false" ht="15" hidden="false" customHeight="true" outlineLevel="0" collapsed="false">
      <c r="A8" s="7" t="s">
        <v>9</v>
      </c>
      <c r="B8" s="7"/>
      <c r="C8" s="7"/>
      <c r="D8" s="7"/>
      <c r="E8" s="7"/>
    </row>
    <row r="9" customFormat="false" ht="15" hidden="false" customHeight="true" outlineLevel="0" collapsed="false">
      <c r="B9" s="8" t="s">
        <v>10</v>
      </c>
      <c r="C9" s="8"/>
      <c r="D9" s="9" t="s">
        <v>11</v>
      </c>
      <c r="E9" s="9"/>
    </row>
    <row r="10" customFormat="false" ht="15" hidden="false" customHeight="true" outlineLevel="0" collapsed="false">
      <c r="A10" s="3" t="s">
        <v>12</v>
      </c>
      <c r="B10" s="4" t="s">
        <v>13</v>
      </c>
      <c r="C10" s="4"/>
      <c r="D10" s="4" t="s">
        <v>14</v>
      </c>
      <c r="E10" s="4"/>
    </row>
    <row r="12" customFormat="false" ht="15" hidden="false" customHeight="true" outlineLevel="0" collapsed="false">
      <c r="A12" s="7" t="s">
        <v>15</v>
      </c>
      <c r="B12" s="7"/>
      <c r="C12" s="7"/>
      <c r="D12" s="7"/>
      <c r="E12" s="7"/>
    </row>
    <row r="13" customFormat="false" ht="15" hidden="false" customHeight="true" outlineLevel="0" collapsed="false">
      <c r="A13" s="10" t="s">
        <v>16</v>
      </c>
      <c r="B13" s="10" t="s">
        <v>17</v>
      </c>
      <c r="C13" s="10" t="s">
        <v>18</v>
      </c>
      <c r="D13" s="10" t="s">
        <v>19</v>
      </c>
      <c r="E13" s="10" t="s">
        <v>20</v>
      </c>
    </row>
    <row r="14" customFormat="false" ht="15" hidden="false" customHeight="true" outlineLevel="0" collapsed="false">
      <c r="A14" s="11" t="s">
        <v>21</v>
      </c>
      <c r="B14" s="12" t="n">
        <f aca="false">'Grupo A'!E9</f>
        <v>2720</v>
      </c>
      <c r="C14" s="12" t="n">
        <f aca="false">'Grupo B'!E9</f>
        <v>2720</v>
      </c>
      <c r="D14" s="12" t="n">
        <f aca="false">B14+C14</f>
        <v>5440</v>
      </c>
      <c r="E14" s="13" t="s">
        <v>22</v>
      </c>
    </row>
    <row r="15" customFormat="false" ht="15" hidden="false" customHeight="true" outlineLevel="0" collapsed="false">
      <c r="A15" s="11" t="s">
        <v>23</v>
      </c>
      <c r="B15" s="12" t="n">
        <f aca="false">'Grupo A'!F15</f>
        <v>2560</v>
      </c>
      <c r="C15" s="12" t="n">
        <f aca="false">'Grupo B'!F15</f>
        <v>2560</v>
      </c>
      <c r="D15" s="12" t="n">
        <f aca="false">B15+C15</f>
        <v>5120</v>
      </c>
      <c r="E15" s="13" t="s">
        <v>24</v>
      </c>
    </row>
    <row r="16" customFormat="false" ht="15" hidden="false" customHeight="true" outlineLevel="0" collapsed="false">
      <c r="A16" s="11" t="s">
        <v>25</v>
      </c>
      <c r="B16" s="12" t="n">
        <f aca="false">'Grupo A'!E22</f>
        <v>3073.09</v>
      </c>
      <c r="C16" s="12" t="n">
        <f aca="false">'Grupo B'!E22</f>
        <v>3073.09</v>
      </c>
      <c r="D16" s="12" t="n">
        <f aca="false">B16+C16</f>
        <v>6146.18</v>
      </c>
      <c r="E16" s="13" t="s">
        <v>26</v>
      </c>
    </row>
    <row r="17" customFormat="false" ht="15" hidden="false" customHeight="true" outlineLevel="0" collapsed="false">
      <c r="A17" s="11" t="s">
        <v>27</v>
      </c>
      <c r="B17" s="12" t="n">
        <f aca="false">'Grupo A'!E29</f>
        <v>947.05</v>
      </c>
      <c r="C17" s="12" t="n">
        <f aca="false">'Grupo B'!E29</f>
        <v>947.05</v>
      </c>
      <c r="D17" s="12" t="n">
        <f aca="false">B17+C17</f>
        <v>1894.1</v>
      </c>
      <c r="E17" s="13" t="s">
        <v>28</v>
      </c>
    </row>
    <row r="18" customFormat="false" ht="15" hidden="false" customHeight="true" outlineLevel="0" collapsed="false">
      <c r="A18" s="11" t="s">
        <v>29</v>
      </c>
      <c r="B18" s="12" t="n">
        <f aca="false">'Grupo A'!E36</f>
        <v>818.89</v>
      </c>
      <c r="C18" s="12" t="n">
        <f aca="false">'Grupo B'!E36</f>
        <v>818.89</v>
      </c>
      <c r="D18" s="12" t="n">
        <f aca="false">B18+C18</f>
        <v>1637.78</v>
      </c>
      <c r="E18" s="13" t="s">
        <v>30</v>
      </c>
    </row>
    <row r="19" customFormat="false" ht="15" hidden="false" customHeight="true" outlineLevel="0" collapsed="false">
      <c r="A19" s="11" t="s">
        <v>31</v>
      </c>
      <c r="B19" s="12" t="n">
        <f aca="false">'Grupo A'!E42</f>
        <v>1600</v>
      </c>
      <c r="C19" s="12" t="n">
        <f aca="false">'Grupo B'!E42</f>
        <v>1600</v>
      </c>
      <c r="D19" s="12" t="n">
        <f aca="false">B19+C19</f>
        <v>3200</v>
      </c>
      <c r="E19" s="14"/>
    </row>
    <row r="20" customFormat="false" ht="15" hidden="false" customHeight="true" outlineLevel="0" collapsed="false">
      <c r="A20" s="11" t="s">
        <v>32</v>
      </c>
      <c r="B20" s="12" t="n">
        <f aca="false">'Grupo A'!B50</f>
        <v>480</v>
      </c>
      <c r="C20" s="12" t="n">
        <f aca="false">'Grupo B'!B50</f>
        <v>480</v>
      </c>
      <c r="D20" s="12" t="n">
        <f aca="false">B20+C20</f>
        <v>960</v>
      </c>
      <c r="E20" s="14"/>
    </row>
    <row r="21" customFormat="false" ht="15" hidden="false" customHeight="true" outlineLevel="0" collapsed="false">
      <c r="A21" s="15" t="s">
        <v>33</v>
      </c>
      <c r="B21" s="16" t="n">
        <f aca="false">SUM(B14:B20)</f>
        <v>12199.03</v>
      </c>
      <c r="C21" s="16" t="n">
        <f aca="false">SUM(C14:C20)</f>
        <v>12199.03</v>
      </c>
      <c r="D21" s="16" t="n">
        <f aca="false">B21+C21</f>
        <v>24398.06</v>
      </c>
      <c r="E21" s="17"/>
    </row>
    <row r="23" customFormat="false" ht="15" hidden="false" customHeight="true" outlineLevel="0" collapsed="false">
      <c r="A23" s="7" t="s">
        <v>34</v>
      </c>
      <c r="B23" s="7"/>
      <c r="C23" s="7"/>
      <c r="D23" s="7"/>
      <c r="E23" s="7"/>
    </row>
    <row r="24" customFormat="false" ht="15" hidden="false" customHeight="true" outlineLevel="0" collapsed="false">
      <c r="A24" s="10" t="s">
        <v>16</v>
      </c>
      <c r="B24" s="10" t="s">
        <v>35</v>
      </c>
      <c r="C24" s="10" t="s">
        <v>36</v>
      </c>
      <c r="D24" s="10" t="s">
        <v>37</v>
      </c>
      <c r="E24" s="10"/>
    </row>
    <row r="25" customFormat="false" ht="15" hidden="false" customHeight="true" outlineLevel="0" collapsed="false">
      <c r="A25" s="11" t="s">
        <v>21</v>
      </c>
      <c r="B25" s="18" t="n">
        <f aca="false">B14*$B$6</f>
        <v>8486400</v>
      </c>
      <c r="C25" s="18" t="n">
        <f aca="false">C14*$B$6</f>
        <v>8486400</v>
      </c>
      <c r="D25" s="18" t="n">
        <f aca="false">D14*$B$6</f>
        <v>16972800</v>
      </c>
      <c r="E25" s="14"/>
    </row>
    <row r="26" customFormat="false" ht="15" hidden="false" customHeight="true" outlineLevel="0" collapsed="false">
      <c r="A26" s="11" t="s">
        <v>23</v>
      </c>
      <c r="B26" s="18" t="n">
        <f aca="false">B15*$B$6</f>
        <v>7987200</v>
      </c>
      <c r="C26" s="18" t="n">
        <f aca="false">C15*$B$6</f>
        <v>7987200</v>
      </c>
      <c r="D26" s="18" t="n">
        <f aca="false">D15*$B$6</f>
        <v>15974400</v>
      </c>
      <c r="E26" s="14"/>
    </row>
    <row r="27" customFormat="false" ht="15" hidden="false" customHeight="true" outlineLevel="0" collapsed="false">
      <c r="A27" s="11" t="s">
        <v>25</v>
      </c>
      <c r="B27" s="18" t="n">
        <f aca="false">B16*$B$6</f>
        <v>9588040.8</v>
      </c>
      <c r="C27" s="18" t="n">
        <f aca="false">C16*$B$6</f>
        <v>9588040.8</v>
      </c>
      <c r="D27" s="18" t="n">
        <f aca="false">D16*$B$6</f>
        <v>19176081.6</v>
      </c>
      <c r="E27" s="14"/>
    </row>
    <row r="28" customFormat="false" ht="15" hidden="false" customHeight="true" outlineLevel="0" collapsed="false">
      <c r="A28" s="11" t="s">
        <v>27</v>
      </c>
      <c r="B28" s="18" t="n">
        <f aca="false">B17*$B$6</f>
        <v>2954796</v>
      </c>
      <c r="C28" s="18" t="n">
        <f aca="false">C17*$B$6</f>
        <v>2954796</v>
      </c>
      <c r="D28" s="18" t="n">
        <f aca="false">D17*$B$6</f>
        <v>5909592</v>
      </c>
      <c r="E28" s="14"/>
    </row>
    <row r="29" customFormat="false" ht="15" hidden="false" customHeight="true" outlineLevel="0" collapsed="false">
      <c r="A29" s="11" t="s">
        <v>29</v>
      </c>
      <c r="B29" s="18" t="n">
        <f aca="false">B18*$B$6</f>
        <v>2554936.8</v>
      </c>
      <c r="C29" s="18" t="n">
        <f aca="false">C18*$B$6</f>
        <v>2554936.8</v>
      </c>
      <c r="D29" s="18" t="n">
        <f aca="false">D18*$B$6</f>
        <v>5109873.6</v>
      </c>
      <c r="E29" s="14"/>
    </row>
    <row r="30" customFormat="false" ht="15" hidden="false" customHeight="true" outlineLevel="0" collapsed="false">
      <c r="A30" s="11" t="s">
        <v>31</v>
      </c>
      <c r="B30" s="18" t="n">
        <f aca="false">B19*$B$6</f>
        <v>4992000</v>
      </c>
      <c r="C30" s="18" t="n">
        <f aca="false">C19*$B$6</f>
        <v>4992000</v>
      </c>
      <c r="D30" s="18" t="n">
        <f aca="false">D19*$B$6</f>
        <v>9984000</v>
      </c>
      <c r="E30" s="14"/>
    </row>
    <row r="31" customFormat="false" ht="15" hidden="false" customHeight="true" outlineLevel="0" collapsed="false">
      <c r="A31" s="11" t="s">
        <v>32</v>
      </c>
      <c r="B31" s="18" t="n">
        <f aca="false">B20*$B$6</f>
        <v>1497600</v>
      </c>
      <c r="C31" s="18" t="n">
        <f aca="false">C20*$B$6</f>
        <v>1497600</v>
      </c>
      <c r="D31" s="18" t="n">
        <f aca="false">D20*$B$6</f>
        <v>2995200</v>
      </c>
      <c r="E31" s="14"/>
    </row>
    <row r="32" customFormat="false" ht="15" hidden="false" customHeight="true" outlineLevel="0" collapsed="false">
      <c r="A32" s="15" t="s">
        <v>38</v>
      </c>
      <c r="B32" s="19" t="n">
        <f aca="false">SUM(B25:B31)</f>
        <v>38060973.6</v>
      </c>
      <c r="C32" s="19" t="n">
        <f aca="false">SUM(C25:C31)</f>
        <v>38060973.6</v>
      </c>
      <c r="D32" s="19" t="n">
        <f aca="false">B32+C32</f>
        <v>76121947.2</v>
      </c>
      <c r="E32" s="17"/>
    </row>
    <row r="34" customFormat="false" ht="15" hidden="false" customHeight="true" outlineLevel="0" collapsed="false">
      <c r="A34" s="20" t="s">
        <v>39</v>
      </c>
      <c r="B34" s="12" t="n">
        <f aca="false">B21/4</f>
        <v>3049.7575</v>
      </c>
      <c r="C34" s="18" t="n">
        <f aca="false">B32/4</f>
        <v>9515243.4</v>
      </c>
    </row>
    <row r="35" customFormat="false" ht="15" hidden="false" customHeight="true" outlineLevel="0" collapsed="false">
      <c r="A35" s="20" t="s">
        <v>40</v>
      </c>
      <c r="B35" s="12" t="n">
        <f aca="false">C21/4</f>
        <v>3049.7575</v>
      </c>
      <c r="C35" s="18" t="n">
        <f aca="false">C32/4</f>
        <v>9515243.4</v>
      </c>
    </row>
    <row r="37" customFormat="false" ht="15.75" hidden="false" customHeight="true" outlineLevel="0" collapsed="false">
      <c r="A37" s="7" t="s">
        <v>41</v>
      </c>
      <c r="B37" s="7"/>
      <c r="C37" s="7"/>
      <c r="D37" s="21" t="n">
        <f aca="false">D21</f>
        <v>24398.06</v>
      </c>
    </row>
    <row r="38" customFormat="false" ht="15.75" hidden="false" customHeight="true" outlineLevel="0" collapsed="false">
      <c r="A38" s="7" t="s">
        <v>42</v>
      </c>
      <c r="B38" s="7"/>
      <c r="C38" s="7"/>
      <c r="D38" s="22" t="n">
        <f aca="false">D32</f>
        <v>76121947.2</v>
      </c>
    </row>
    <row r="40" customFormat="false" ht="15" hidden="false" customHeight="true" outlineLevel="0" collapsed="false">
      <c r="A40" s="7" t="s">
        <v>43</v>
      </c>
      <c r="B40" s="7"/>
      <c r="C40" s="7"/>
      <c r="D40" s="7"/>
      <c r="E40" s="7"/>
    </row>
    <row r="41" customFormat="false" ht="15" hidden="false" customHeight="true" outlineLevel="0" collapsed="false">
      <c r="A41" s="20" t="s">
        <v>44</v>
      </c>
      <c r="B41" s="13" t="s">
        <v>45</v>
      </c>
    </row>
    <row r="42" customFormat="false" ht="15" hidden="false" customHeight="true" outlineLevel="0" collapsed="false">
      <c r="A42" s="20" t="s">
        <v>46</v>
      </c>
      <c r="B42" s="13" t="s">
        <v>45</v>
      </c>
    </row>
    <row r="43" customFormat="false" ht="15" hidden="false" customHeight="true" outlineLevel="0" collapsed="false">
      <c r="A43" s="20" t="s">
        <v>47</v>
      </c>
      <c r="B43" s="13" t="s">
        <v>45</v>
      </c>
    </row>
    <row r="44" customFormat="false" ht="15" hidden="false" customHeight="true" outlineLevel="0" collapsed="false">
      <c r="A44" s="20" t="s">
        <v>48</v>
      </c>
      <c r="B44" s="13" t="s">
        <v>45</v>
      </c>
    </row>
    <row r="45" customFormat="false" ht="15" hidden="false" customHeight="true" outlineLevel="0" collapsed="false">
      <c r="A45" s="20" t="s">
        <v>49</v>
      </c>
      <c r="B45" s="13" t="s">
        <v>45</v>
      </c>
    </row>
    <row r="47" customFormat="false" ht="15" hidden="false" customHeight="true" outlineLevel="0" collapsed="false">
      <c r="A47" s="7" t="s">
        <v>50</v>
      </c>
      <c r="B47" s="7"/>
      <c r="C47" s="7"/>
      <c r="D47" s="7"/>
      <c r="E47" s="7"/>
    </row>
    <row r="48" customFormat="false" ht="25.5" hidden="false" customHeight="true" outlineLevel="0" collapsed="false">
      <c r="A48" s="6" t="s">
        <v>51</v>
      </c>
      <c r="B48" s="6"/>
      <c r="C48" s="6"/>
      <c r="D48" s="6"/>
      <c r="E48" s="6"/>
    </row>
    <row r="49" customFormat="false" ht="25.5" hidden="false" customHeight="true" outlineLevel="0" collapsed="false">
      <c r="A49" s="6" t="s">
        <v>52</v>
      </c>
      <c r="B49" s="6"/>
      <c r="C49" s="6"/>
      <c r="D49" s="6"/>
      <c r="E49" s="6"/>
    </row>
    <row r="50" customFormat="false" ht="25.5" hidden="false" customHeight="true" outlineLevel="0" collapsed="false">
      <c r="A50" s="6" t="s">
        <v>53</v>
      </c>
      <c r="B50" s="6"/>
      <c r="C50" s="6"/>
      <c r="D50" s="6"/>
      <c r="E50" s="6"/>
    </row>
    <row r="51" customFormat="false" ht="25.5" hidden="false" customHeight="true" outlineLevel="0" collapsed="false">
      <c r="A51" s="6" t="s">
        <v>54</v>
      </c>
      <c r="B51" s="6"/>
      <c r="C51" s="6"/>
      <c r="D51" s="6"/>
      <c r="E51" s="6"/>
    </row>
    <row r="52" customFormat="false" ht="25.5" hidden="false" customHeight="true" outlineLevel="0" collapsed="false">
      <c r="A52" s="6" t="s">
        <v>55</v>
      </c>
      <c r="B52" s="6"/>
      <c r="C52" s="6"/>
      <c r="D52" s="6"/>
      <c r="E52" s="6"/>
    </row>
    <row r="53" customFormat="false" ht="25.5" hidden="false" customHeight="true" outlineLevel="0" collapsed="false">
      <c r="A53" s="6" t="s">
        <v>56</v>
      </c>
      <c r="B53" s="6"/>
      <c r="C53" s="6"/>
      <c r="D53" s="6"/>
      <c r="E53" s="6"/>
    </row>
  </sheetData>
  <mergeCells count="22">
    <mergeCell ref="A1:E1"/>
    <mergeCell ref="B3:E3"/>
    <mergeCell ref="B4:E4"/>
    <mergeCell ref="B5:E5"/>
    <mergeCell ref="C6:E6"/>
    <mergeCell ref="A8:E8"/>
    <mergeCell ref="B9:C9"/>
    <mergeCell ref="D9:E9"/>
    <mergeCell ref="B10:C10"/>
    <mergeCell ref="D10:E10"/>
    <mergeCell ref="A12:E12"/>
    <mergeCell ref="A23:E23"/>
    <mergeCell ref="A37:C37"/>
    <mergeCell ref="A38:C38"/>
    <mergeCell ref="A40:E40"/>
    <mergeCell ref="A47:E47"/>
    <mergeCell ref="A48:E48"/>
    <mergeCell ref="A49:E49"/>
    <mergeCell ref="A50:E50"/>
    <mergeCell ref="A51:E51"/>
    <mergeCell ref="A52:E52"/>
    <mergeCell ref="A53:E53"/>
  </mergeCells>
  <hyperlinks>
    <hyperlink ref="E14" r:id="rId1" display="Avianca — reservar"/>
    <hyperlink ref="E15" r:id="rId2" display="DoubleTree — reservar"/>
    <hyperlink ref="E16" r:id="rId3" display="Disney — comprar tickets"/>
    <hyperlink ref="E17" r:id="rId4" display="Universal — comprar tickets"/>
    <hyperlink ref="E18" r:id="rId5" display="Universal — Epic Universe"/>
    <hyperlink ref="B41" r:id="rId6" display="Abrir →"/>
    <hyperlink ref="A42" r:id="rId7" display="Hotel DoubleTree Suites"/>
    <hyperlink ref="B42" r:id="rId8" display="Abrir →"/>
    <hyperlink ref="B43" r:id="rId9" display="Abrir →"/>
    <hyperlink ref="B44" r:id="rId10" display="Abrir →"/>
    <hyperlink ref="B45" r:id="rId11" display="Abrir →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6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14"/>
    <col collapsed="false" customWidth="true" hidden="false" outlineLevel="0" max="6" min="6" style="1" width="26"/>
  </cols>
  <sheetData>
    <row r="1" customFormat="false" ht="17.25" hidden="false" customHeight="true" outlineLevel="0" collapsed="false">
      <c r="A1" s="23" t="s">
        <v>57</v>
      </c>
      <c r="B1" s="23"/>
      <c r="C1" s="23"/>
      <c r="D1" s="23"/>
      <c r="E1" s="23"/>
      <c r="F1" s="23"/>
    </row>
    <row r="2" customFormat="false" ht="15" hidden="false" customHeight="true" outlineLevel="0" collapsed="false">
      <c r="A2" s="24" t="s">
        <v>58</v>
      </c>
      <c r="B2" s="24"/>
      <c r="C2" s="24"/>
      <c r="D2" s="24"/>
      <c r="E2" s="24"/>
      <c r="F2" s="24"/>
    </row>
    <row r="4" customFormat="false" ht="15" hidden="false" customHeight="true" outlineLevel="0" collapsed="false">
      <c r="A4" s="25" t="s">
        <v>59</v>
      </c>
      <c r="B4" s="25"/>
      <c r="C4" s="25"/>
      <c r="D4" s="25"/>
      <c r="E4" s="25"/>
      <c r="F4" s="25"/>
    </row>
    <row r="5" customFormat="false" ht="26.25" hidden="false" customHeight="true" outlineLevel="0" collapsed="false">
      <c r="A5" s="26" t="s">
        <v>60</v>
      </c>
      <c r="B5" s="26" t="s">
        <v>61</v>
      </c>
      <c r="C5" s="26" t="s">
        <v>62</v>
      </c>
      <c r="D5" s="26" t="s">
        <v>63</v>
      </c>
      <c r="E5" s="26" t="s">
        <v>64</v>
      </c>
      <c r="F5" s="26" t="s">
        <v>65</v>
      </c>
    </row>
    <row r="6" customFormat="false" ht="15" hidden="false" customHeight="true" outlineLevel="0" collapsed="false">
      <c r="A6" s="11" t="s">
        <v>66</v>
      </c>
      <c r="B6" s="27" t="s">
        <v>67</v>
      </c>
      <c r="C6" s="28" t="n">
        <v>680</v>
      </c>
      <c r="D6" s="27" t="n">
        <v>3</v>
      </c>
      <c r="E6" s="12" t="n">
        <f aca="false">C6*D6</f>
        <v>2040</v>
      </c>
      <c r="F6" s="13" t="s">
        <v>22</v>
      </c>
    </row>
    <row r="7" customFormat="false" ht="15" hidden="false" customHeight="true" outlineLevel="0" collapsed="false">
      <c r="A7" s="11" t="s">
        <v>68</v>
      </c>
      <c r="B7" s="27" t="s">
        <v>69</v>
      </c>
      <c r="C7" s="28" t="n">
        <v>680</v>
      </c>
      <c r="D7" s="27" t="n">
        <v>1</v>
      </c>
      <c r="E7" s="12" t="n">
        <f aca="false">C7*D7</f>
        <v>680</v>
      </c>
      <c r="F7" s="13" t="s">
        <v>22</v>
      </c>
    </row>
    <row r="8" customFormat="false" ht="25.5" hidden="false" customHeight="true" outlineLevel="0" collapsed="false">
      <c r="A8" s="6" t="s">
        <v>70</v>
      </c>
      <c r="B8" s="6"/>
      <c r="C8" s="6"/>
      <c r="D8" s="6"/>
      <c r="E8" s="6"/>
      <c r="F8" s="6"/>
    </row>
    <row r="9" customFormat="false" ht="15" hidden="false" customHeight="true" outlineLevel="0" collapsed="false">
      <c r="A9" s="29" t="s">
        <v>71</v>
      </c>
      <c r="B9" s="30"/>
      <c r="C9" s="30"/>
      <c r="D9" s="30"/>
      <c r="E9" s="31" t="n">
        <f aca="false">E6+E7</f>
        <v>2720</v>
      </c>
      <c r="F9" s="30"/>
    </row>
    <row r="11" customFormat="false" ht="15" hidden="false" customHeight="true" outlineLevel="0" collapsed="false">
      <c r="A11" s="25" t="s">
        <v>72</v>
      </c>
      <c r="B11" s="25"/>
      <c r="C11" s="25"/>
      <c r="D11" s="25"/>
      <c r="E11" s="25"/>
      <c r="F11" s="25"/>
    </row>
    <row r="12" customFormat="false" ht="39" hidden="false" customHeight="true" outlineLevel="0" collapsed="false">
      <c r="A12" s="26" t="s">
        <v>16</v>
      </c>
      <c r="B12" s="26" t="s">
        <v>73</v>
      </c>
      <c r="C12" s="26" t="s">
        <v>74</v>
      </c>
      <c r="D12" s="26" t="s">
        <v>75</v>
      </c>
      <c r="E12" s="26" t="s">
        <v>76</v>
      </c>
      <c r="F12" s="26" t="s">
        <v>64</v>
      </c>
    </row>
    <row r="13" customFormat="false" ht="15" hidden="false" customHeight="true" outlineLevel="0" collapsed="false">
      <c r="A13" s="11" t="s">
        <v>77</v>
      </c>
      <c r="B13" s="28" t="n">
        <v>320</v>
      </c>
      <c r="C13" s="27" t="n">
        <v>0</v>
      </c>
      <c r="D13" s="28" t="n">
        <v>0</v>
      </c>
      <c r="E13" s="27" t="n">
        <v>8</v>
      </c>
      <c r="F13" s="12" t="n">
        <f aca="false">(B13+D13)*E13</f>
        <v>2560</v>
      </c>
    </row>
    <row r="14" customFormat="false" ht="25.5" hidden="false" customHeight="true" outlineLevel="0" collapsed="false">
      <c r="A14" s="6" t="s">
        <v>78</v>
      </c>
      <c r="B14" s="6"/>
      <c r="C14" s="6"/>
      <c r="D14" s="6"/>
      <c r="E14" s="6"/>
      <c r="F14" s="13" t="s">
        <v>24</v>
      </c>
    </row>
    <row r="15" customFormat="false" ht="15" hidden="false" customHeight="true" outlineLevel="0" collapsed="false">
      <c r="A15" s="29" t="s">
        <v>79</v>
      </c>
      <c r="B15" s="30"/>
      <c r="C15" s="30"/>
      <c r="D15" s="30"/>
      <c r="E15" s="30"/>
      <c r="F15" s="31" t="n">
        <f aca="false">F13</f>
        <v>2560</v>
      </c>
    </row>
    <row r="17" customFormat="false" ht="15" hidden="false" customHeight="true" outlineLevel="0" collapsed="false">
      <c r="A17" s="25" t="s">
        <v>80</v>
      </c>
      <c r="B17" s="25"/>
      <c r="C17" s="25"/>
      <c r="D17" s="25"/>
      <c r="E17" s="25"/>
      <c r="F17" s="25"/>
    </row>
    <row r="18" customFormat="false" ht="15" hidden="false" customHeight="true" outlineLevel="0" collapsed="false">
      <c r="A18" s="26" t="s">
        <v>60</v>
      </c>
      <c r="B18" s="26" t="s">
        <v>61</v>
      </c>
      <c r="C18" s="26" t="s">
        <v>81</v>
      </c>
      <c r="D18" s="26" t="s">
        <v>63</v>
      </c>
      <c r="E18" s="26" t="s">
        <v>64</v>
      </c>
      <c r="F18" s="26" t="s">
        <v>65</v>
      </c>
    </row>
    <row r="19" customFormat="false" ht="15" hidden="false" customHeight="true" outlineLevel="0" collapsed="false">
      <c r="A19" s="11" t="s">
        <v>82</v>
      </c>
      <c r="B19" s="27" t="s">
        <v>67</v>
      </c>
      <c r="C19" s="32" t="n">
        <v>773.12</v>
      </c>
      <c r="D19" s="27" t="n">
        <v>3</v>
      </c>
      <c r="E19" s="12" t="n">
        <f aca="false">C19*D19</f>
        <v>2319.36</v>
      </c>
      <c r="F19" s="13" t="s">
        <v>83</v>
      </c>
    </row>
    <row r="20" customFormat="false" ht="15" hidden="false" customHeight="true" outlineLevel="0" collapsed="false">
      <c r="A20" s="11" t="s">
        <v>84</v>
      </c>
      <c r="B20" s="27" t="s">
        <v>69</v>
      </c>
      <c r="C20" s="32" t="n">
        <v>753.73</v>
      </c>
      <c r="D20" s="27" t="n">
        <v>1</v>
      </c>
      <c r="E20" s="12" t="n">
        <f aca="false">C20*D20</f>
        <v>753.73</v>
      </c>
      <c r="F20" s="13" t="s">
        <v>83</v>
      </c>
    </row>
    <row r="21" customFormat="false" ht="15" hidden="false" customHeight="true" outlineLevel="0" collapsed="false">
      <c r="A21" s="6" t="s">
        <v>85</v>
      </c>
      <c r="B21" s="6"/>
      <c r="C21" s="6"/>
      <c r="D21" s="6"/>
      <c r="E21" s="6"/>
      <c r="F21" s="6"/>
    </row>
    <row r="22" customFormat="false" ht="15" hidden="false" customHeight="true" outlineLevel="0" collapsed="false">
      <c r="A22" s="29" t="s">
        <v>86</v>
      </c>
      <c r="B22" s="30"/>
      <c r="C22" s="30"/>
      <c r="D22" s="30"/>
      <c r="E22" s="31" t="n">
        <f aca="false">E19+E20</f>
        <v>3073.09</v>
      </c>
      <c r="F22" s="30"/>
    </row>
    <row r="24" customFormat="false" ht="15" hidden="false" customHeight="true" outlineLevel="0" collapsed="false">
      <c r="A24" s="25" t="s">
        <v>87</v>
      </c>
      <c r="B24" s="25"/>
      <c r="C24" s="25"/>
      <c r="D24" s="25"/>
      <c r="E24" s="25"/>
      <c r="F24" s="25"/>
    </row>
    <row r="25" customFormat="false" ht="15" hidden="false" customHeight="true" outlineLevel="0" collapsed="false">
      <c r="A25" s="26" t="s">
        <v>60</v>
      </c>
      <c r="B25" s="26" t="s">
        <v>61</v>
      </c>
      <c r="C25" s="26" t="s">
        <v>81</v>
      </c>
      <c r="D25" s="26" t="s">
        <v>63</v>
      </c>
      <c r="E25" s="26" t="s">
        <v>64</v>
      </c>
      <c r="F25" s="26" t="s">
        <v>65</v>
      </c>
    </row>
    <row r="26" customFormat="false" ht="15" hidden="false" customHeight="true" outlineLevel="0" collapsed="false">
      <c r="A26" s="11" t="s">
        <v>88</v>
      </c>
      <c r="B26" s="27" t="s">
        <v>67</v>
      </c>
      <c r="C26" s="32" t="n">
        <v>238.55</v>
      </c>
      <c r="D26" s="27" t="n">
        <v>3</v>
      </c>
      <c r="E26" s="12" t="n">
        <f aca="false">C26*D26</f>
        <v>715.65</v>
      </c>
      <c r="F26" s="13" t="s">
        <v>89</v>
      </c>
    </row>
    <row r="27" customFormat="false" ht="15" hidden="false" customHeight="true" outlineLevel="0" collapsed="false">
      <c r="A27" s="11" t="s">
        <v>68</v>
      </c>
      <c r="B27" s="27" t="s">
        <v>69</v>
      </c>
      <c r="C27" s="32" t="n">
        <v>231.4</v>
      </c>
      <c r="D27" s="27" t="n">
        <v>1</v>
      </c>
      <c r="E27" s="12" t="n">
        <f aca="false">C27*D27</f>
        <v>231.4</v>
      </c>
      <c r="F27" s="13" t="s">
        <v>89</v>
      </c>
    </row>
    <row r="28" customFormat="false" ht="15" hidden="false" customHeight="true" outlineLevel="0" collapsed="false">
      <c r="A28" s="6" t="s">
        <v>90</v>
      </c>
      <c r="B28" s="6"/>
      <c r="C28" s="6"/>
      <c r="D28" s="6"/>
      <c r="E28" s="6"/>
      <c r="F28" s="6"/>
    </row>
    <row r="29" customFormat="false" ht="15" hidden="false" customHeight="true" outlineLevel="0" collapsed="false">
      <c r="A29" s="29" t="s">
        <v>91</v>
      </c>
      <c r="B29" s="30"/>
      <c r="C29" s="30"/>
      <c r="D29" s="30"/>
      <c r="E29" s="31" t="n">
        <f aca="false">E26+E27</f>
        <v>947.05</v>
      </c>
      <c r="F29" s="30"/>
    </row>
    <row r="31" customFormat="false" ht="15" hidden="false" customHeight="true" outlineLevel="0" collapsed="false">
      <c r="A31" s="25" t="s">
        <v>92</v>
      </c>
      <c r="B31" s="25"/>
      <c r="C31" s="25"/>
      <c r="D31" s="25"/>
      <c r="E31" s="25"/>
      <c r="F31" s="25"/>
    </row>
    <row r="32" customFormat="false" ht="15" hidden="false" customHeight="true" outlineLevel="0" collapsed="false">
      <c r="A32" s="26" t="s">
        <v>60</v>
      </c>
      <c r="B32" s="26" t="s">
        <v>61</v>
      </c>
      <c r="C32" s="26" t="s">
        <v>81</v>
      </c>
      <c r="D32" s="26" t="s">
        <v>63</v>
      </c>
      <c r="E32" s="26" t="s">
        <v>64</v>
      </c>
      <c r="F32" s="26" t="s">
        <v>65</v>
      </c>
    </row>
    <row r="33" customFormat="false" ht="15" hidden="false" customHeight="true" outlineLevel="0" collapsed="false">
      <c r="A33" s="11" t="s">
        <v>88</v>
      </c>
      <c r="B33" s="27" t="s">
        <v>67</v>
      </c>
      <c r="C33" s="32" t="n">
        <v>206.27</v>
      </c>
      <c r="D33" s="27" t="n">
        <v>3</v>
      </c>
      <c r="E33" s="12" t="n">
        <f aca="false">C33*D33</f>
        <v>618.81</v>
      </c>
      <c r="F33" s="13" t="s">
        <v>93</v>
      </c>
    </row>
    <row r="34" customFormat="false" ht="15" hidden="false" customHeight="true" outlineLevel="0" collapsed="false">
      <c r="A34" s="11" t="s">
        <v>68</v>
      </c>
      <c r="B34" s="27" t="s">
        <v>69</v>
      </c>
      <c r="C34" s="32" t="n">
        <v>200.08</v>
      </c>
      <c r="D34" s="27" t="n">
        <v>1</v>
      </c>
      <c r="E34" s="12" t="n">
        <f aca="false">C34*D34</f>
        <v>200.08</v>
      </c>
      <c r="F34" s="13" t="s">
        <v>93</v>
      </c>
    </row>
    <row r="35" customFormat="false" ht="25.5" hidden="false" customHeight="true" outlineLevel="0" collapsed="false">
      <c r="A35" s="6" t="s">
        <v>94</v>
      </c>
      <c r="B35" s="6"/>
      <c r="C35" s="6"/>
      <c r="D35" s="6"/>
      <c r="E35" s="6"/>
      <c r="F35" s="6"/>
    </row>
    <row r="36" customFormat="false" ht="15" hidden="false" customHeight="true" outlineLevel="0" collapsed="false">
      <c r="A36" s="29" t="s">
        <v>95</v>
      </c>
      <c r="B36" s="30"/>
      <c r="C36" s="30"/>
      <c r="D36" s="30"/>
      <c r="E36" s="31" t="n">
        <f aca="false">E33+E34</f>
        <v>818.89</v>
      </c>
      <c r="F36" s="30"/>
    </row>
    <row r="38" customFormat="false" ht="15" hidden="false" customHeight="true" outlineLevel="0" collapsed="false">
      <c r="A38" s="25" t="s">
        <v>96</v>
      </c>
      <c r="B38" s="25"/>
      <c r="C38" s="25"/>
      <c r="D38" s="25"/>
      <c r="E38" s="25"/>
      <c r="F38" s="25"/>
    </row>
    <row r="39" customFormat="false" ht="26.25" hidden="false" customHeight="true" outlineLevel="0" collapsed="false">
      <c r="A39" s="26" t="s">
        <v>16</v>
      </c>
      <c r="B39" s="26" t="s">
        <v>97</v>
      </c>
      <c r="C39" s="26" t="s">
        <v>98</v>
      </c>
      <c r="D39" s="26"/>
      <c r="E39" s="26" t="s">
        <v>99</v>
      </c>
      <c r="F39" s="26"/>
    </row>
    <row r="40" customFormat="false" ht="15" hidden="false" customHeight="true" outlineLevel="0" collapsed="false">
      <c r="A40" s="11" t="s">
        <v>88</v>
      </c>
      <c r="B40" s="28" t="n">
        <v>55</v>
      </c>
      <c r="C40" s="27" t="n">
        <v>3</v>
      </c>
      <c r="D40" s="14"/>
      <c r="E40" s="12" t="n">
        <f aca="false">B40*C40*8</f>
        <v>1320</v>
      </c>
      <c r="F40" s="14"/>
    </row>
    <row r="41" customFormat="false" ht="15" hidden="false" customHeight="true" outlineLevel="0" collapsed="false">
      <c r="A41" s="11" t="s">
        <v>68</v>
      </c>
      <c r="B41" s="28" t="n">
        <v>35</v>
      </c>
      <c r="C41" s="27" t="n">
        <v>1</v>
      </c>
      <c r="D41" s="14"/>
      <c r="E41" s="12" t="n">
        <f aca="false">B41*C41*8</f>
        <v>280</v>
      </c>
      <c r="F41" s="14"/>
    </row>
    <row r="42" customFormat="false" ht="15" hidden="false" customHeight="true" outlineLevel="0" collapsed="false">
      <c r="A42" s="29" t="s">
        <v>100</v>
      </c>
      <c r="B42" s="30"/>
      <c r="C42" s="30"/>
      <c r="D42" s="30"/>
      <c r="E42" s="31" t="n">
        <f aca="false">E40+E41</f>
        <v>1600</v>
      </c>
      <c r="F42" s="30"/>
    </row>
    <row r="44" customFormat="false" ht="15" hidden="false" customHeight="true" outlineLevel="0" collapsed="false">
      <c r="A44" s="25" t="s">
        <v>101</v>
      </c>
      <c r="B44" s="25"/>
      <c r="C44" s="25"/>
      <c r="D44" s="25"/>
      <c r="E44" s="25"/>
      <c r="F44" s="25"/>
    </row>
    <row r="45" customFormat="false" ht="15" hidden="false" customHeight="true" outlineLevel="0" collapsed="false">
      <c r="A45" s="26" t="s">
        <v>16</v>
      </c>
      <c r="B45" s="26" t="s">
        <v>102</v>
      </c>
      <c r="C45" s="26"/>
      <c r="D45" s="26"/>
      <c r="E45" s="26"/>
      <c r="F45" s="26"/>
    </row>
    <row r="46" customFormat="false" ht="15" hidden="false" customHeight="true" outlineLevel="0" collapsed="false">
      <c r="A46" s="11" t="s">
        <v>103</v>
      </c>
      <c r="B46" s="28" t="n">
        <v>70</v>
      </c>
      <c r="C46" s="14"/>
      <c r="D46" s="14"/>
      <c r="E46" s="14"/>
      <c r="F46" s="14"/>
    </row>
    <row r="47" customFormat="false" ht="15" hidden="false" customHeight="true" outlineLevel="0" collapsed="false">
      <c r="A47" s="11" t="s">
        <v>104</v>
      </c>
      <c r="B47" s="28" t="n">
        <v>110</v>
      </c>
      <c r="C47" s="14"/>
      <c r="D47" s="14"/>
      <c r="E47" s="14"/>
      <c r="F47" s="14"/>
    </row>
    <row r="48" customFormat="false" ht="15" hidden="false" customHeight="true" outlineLevel="0" collapsed="false">
      <c r="A48" s="11" t="s">
        <v>105</v>
      </c>
      <c r="B48" s="28" t="n">
        <v>200</v>
      </c>
      <c r="C48" s="14"/>
      <c r="D48" s="14"/>
      <c r="E48" s="14"/>
      <c r="F48" s="14"/>
    </row>
    <row r="49" customFormat="false" ht="15" hidden="false" customHeight="true" outlineLevel="0" collapsed="false">
      <c r="A49" s="11" t="s">
        <v>106</v>
      </c>
      <c r="B49" s="28" t="n">
        <v>100</v>
      </c>
      <c r="C49" s="14"/>
      <c r="D49" s="14"/>
      <c r="E49" s="14"/>
      <c r="F49" s="14"/>
    </row>
    <row r="50" customFormat="false" ht="15" hidden="false" customHeight="true" outlineLevel="0" collapsed="false">
      <c r="A50" s="29" t="s">
        <v>107</v>
      </c>
      <c r="B50" s="31" t="n">
        <f aca="false">SUM(B46:B49)</f>
        <v>480</v>
      </c>
      <c r="C50" s="30"/>
      <c r="D50" s="30"/>
      <c r="E50" s="30"/>
      <c r="F50" s="30"/>
    </row>
    <row r="52" customFormat="false" ht="15" hidden="false" customHeight="true" outlineLevel="0" collapsed="false">
      <c r="A52" s="15" t="s">
        <v>108</v>
      </c>
      <c r="B52" s="17"/>
      <c r="C52" s="17"/>
      <c r="D52" s="17"/>
      <c r="E52" s="16" t="n">
        <f aca="false">E9+F15+E22+E29+E36+E42+B50</f>
        <v>12199.03</v>
      </c>
      <c r="F52" s="17"/>
    </row>
  </sheetData>
  <mergeCells count="14">
    <mergeCell ref="A1:F1"/>
    <mergeCell ref="A2:F2"/>
    <mergeCell ref="A4:F4"/>
    <mergeCell ref="A8:F8"/>
    <mergeCell ref="A11:F11"/>
    <mergeCell ref="A14:E14"/>
    <mergeCell ref="A17:F17"/>
    <mergeCell ref="A21:F21"/>
    <mergeCell ref="A24:F24"/>
    <mergeCell ref="A28:F28"/>
    <mergeCell ref="A31:F31"/>
    <mergeCell ref="A35:F35"/>
    <mergeCell ref="A38:F38"/>
    <mergeCell ref="A44:F44"/>
  </mergeCells>
  <hyperlinks>
    <hyperlink ref="F6" r:id="rId1" display="Avianca — reservar"/>
    <hyperlink ref="F7" r:id="rId2" display="Avianca — reservar"/>
    <hyperlink ref="F14" r:id="rId3" display="DoubleTree — reservar"/>
    <hyperlink ref="F19" r:id="rId4" display="Disney — comprar"/>
    <hyperlink ref="F20" r:id="rId5" display="Disney — comprar"/>
    <hyperlink ref="F26" r:id="rId6" display="Universal — comprar"/>
    <hyperlink ref="F27" r:id="rId7" display="Universal — comprar"/>
    <hyperlink ref="F33" r:id="rId8" display="Epic Universe — comprar"/>
    <hyperlink ref="F34" r:id="rId9" display="Epic Universe — compra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6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14"/>
    <col collapsed="false" customWidth="true" hidden="false" outlineLevel="0" max="6" min="6" style="1" width="26"/>
  </cols>
  <sheetData>
    <row r="1" customFormat="false" ht="17.25" hidden="false" customHeight="true" outlineLevel="0" collapsed="false">
      <c r="A1" s="33" t="s">
        <v>109</v>
      </c>
      <c r="B1" s="33"/>
      <c r="C1" s="33"/>
      <c r="D1" s="33"/>
      <c r="E1" s="33"/>
      <c r="F1" s="33"/>
    </row>
    <row r="2" customFormat="false" ht="15" hidden="false" customHeight="true" outlineLevel="0" collapsed="false">
      <c r="A2" s="24" t="s">
        <v>110</v>
      </c>
      <c r="B2" s="24"/>
      <c r="C2" s="24"/>
      <c r="D2" s="24"/>
      <c r="E2" s="24"/>
      <c r="F2" s="24"/>
    </row>
    <row r="4" customFormat="false" ht="15" hidden="false" customHeight="true" outlineLevel="0" collapsed="false">
      <c r="A4" s="34" t="s">
        <v>59</v>
      </c>
      <c r="B4" s="34"/>
      <c r="C4" s="34"/>
      <c r="D4" s="34"/>
      <c r="E4" s="34"/>
      <c r="F4" s="34"/>
    </row>
    <row r="5" customFormat="false" ht="26.25" hidden="false" customHeight="true" outlineLevel="0" collapsed="false">
      <c r="A5" s="35" t="s">
        <v>60</v>
      </c>
      <c r="B5" s="35" t="s">
        <v>61</v>
      </c>
      <c r="C5" s="35" t="s">
        <v>62</v>
      </c>
      <c r="D5" s="35" t="s">
        <v>63</v>
      </c>
      <c r="E5" s="35" t="s">
        <v>64</v>
      </c>
      <c r="F5" s="35" t="s">
        <v>65</v>
      </c>
    </row>
    <row r="6" customFormat="false" ht="15" hidden="false" customHeight="true" outlineLevel="0" collapsed="false">
      <c r="A6" s="11" t="s">
        <v>66</v>
      </c>
      <c r="B6" s="27" t="s">
        <v>67</v>
      </c>
      <c r="C6" s="28" t="n">
        <v>680</v>
      </c>
      <c r="D6" s="27" t="n">
        <v>3</v>
      </c>
      <c r="E6" s="12" t="n">
        <f aca="false">C6*D6</f>
        <v>2040</v>
      </c>
      <c r="F6" s="13" t="s">
        <v>22</v>
      </c>
    </row>
    <row r="7" customFormat="false" ht="15" hidden="false" customHeight="true" outlineLevel="0" collapsed="false">
      <c r="A7" s="11" t="s">
        <v>68</v>
      </c>
      <c r="B7" s="27" t="s">
        <v>111</v>
      </c>
      <c r="C7" s="28" t="n">
        <v>680</v>
      </c>
      <c r="D7" s="27" t="n">
        <v>1</v>
      </c>
      <c r="E7" s="12" t="n">
        <f aca="false">C7*D7</f>
        <v>680</v>
      </c>
      <c r="F7" s="13" t="s">
        <v>22</v>
      </c>
    </row>
    <row r="8" customFormat="false" ht="25.5" hidden="false" customHeight="true" outlineLevel="0" collapsed="false">
      <c r="A8" s="6" t="s">
        <v>70</v>
      </c>
      <c r="B8" s="6"/>
      <c r="C8" s="6"/>
      <c r="D8" s="6"/>
      <c r="E8" s="6"/>
      <c r="F8" s="6"/>
    </row>
    <row r="9" customFormat="false" ht="15" hidden="false" customHeight="true" outlineLevel="0" collapsed="false">
      <c r="A9" s="29" t="s">
        <v>71</v>
      </c>
      <c r="B9" s="30"/>
      <c r="C9" s="30"/>
      <c r="D9" s="30"/>
      <c r="E9" s="31" t="n">
        <f aca="false">E6+E7</f>
        <v>2720</v>
      </c>
      <c r="F9" s="30"/>
    </row>
    <row r="11" customFormat="false" ht="15" hidden="false" customHeight="true" outlineLevel="0" collapsed="false">
      <c r="A11" s="34" t="s">
        <v>72</v>
      </c>
      <c r="B11" s="34"/>
      <c r="C11" s="34"/>
      <c r="D11" s="34"/>
      <c r="E11" s="34"/>
      <c r="F11" s="34"/>
    </row>
    <row r="12" customFormat="false" ht="39" hidden="false" customHeight="true" outlineLevel="0" collapsed="false">
      <c r="A12" s="35" t="s">
        <v>16</v>
      </c>
      <c r="B12" s="35" t="s">
        <v>73</v>
      </c>
      <c r="C12" s="35" t="s">
        <v>74</v>
      </c>
      <c r="D12" s="35" t="s">
        <v>75</v>
      </c>
      <c r="E12" s="35" t="s">
        <v>76</v>
      </c>
      <c r="F12" s="35" t="s">
        <v>64</v>
      </c>
    </row>
    <row r="13" customFormat="false" ht="15" hidden="false" customHeight="true" outlineLevel="0" collapsed="false">
      <c r="A13" s="11" t="s">
        <v>112</v>
      </c>
      <c r="B13" s="28" t="n">
        <v>320</v>
      </c>
      <c r="C13" s="27" t="n">
        <v>0</v>
      </c>
      <c r="D13" s="28" t="n">
        <v>0</v>
      </c>
      <c r="E13" s="27" t="n">
        <v>8</v>
      </c>
      <c r="F13" s="12" t="n">
        <f aca="false">(B13+D13)*E13</f>
        <v>2560</v>
      </c>
    </row>
    <row r="14" customFormat="false" ht="25.5" hidden="false" customHeight="true" outlineLevel="0" collapsed="false">
      <c r="A14" s="6" t="s">
        <v>78</v>
      </c>
      <c r="B14" s="6"/>
      <c r="C14" s="6"/>
      <c r="D14" s="6"/>
      <c r="E14" s="6"/>
      <c r="F14" s="13" t="s">
        <v>24</v>
      </c>
    </row>
    <row r="15" customFormat="false" ht="15" hidden="false" customHeight="true" outlineLevel="0" collapsed="false">
      <c r="A15" s="29" t="s">
        <v>79</v>
      </c>
      <c r="B15" s="30"/>
      <c r="C15" s="30"/>
      <c r="D15" s="30"/>
      <c r="E15" s="30"/>
      <c r="F15" s="31" t="n">
        <f aca="false">F13</f>
        <v>2560</v>
      </c>
    </row>
    <row r="17" customFormat="false" ht="15" hidden="false" customHeight="true" outlineLevel="0" collapsed="false">
      <c r="A17" s="34" t="s">
        <v>80</v>
      </c>
      <c r="B17" s="34"/>
      <c r="C17" s="34"/>
      <c r="D17" s="34"/>
      <c r="E17" s="34"/>
      <c r="F17" s="34"/>
    </row>
    <row r="18" customFormat="false" ht="15" hidden="false" customHeight="true" outlineLevel="0" collapsed="false">
      <c r="A18" s="35" t="s">
        <v>60</v>
      </c>
      <c r="B18" s="35" t="s">
        <v>61</v>
      </c>
      <c r="C18" s="35" t="s">
        <v>81</v>
      </c>
      <c r="D18" s="35" t="s">
        <v>63</v>
      </c>
      <c r="E18" s="35" t="s">
        <v>64</v>
      </c>
      <c r="F18" s="35" t="s">
        <v>65</v>
      </c>
    </row>
    <row r="19" customFormat="false" ht="15" hidden="false" customHeight="true" outlineLevel="0" collapsed="false">
      <c r="A19" s="11" t="s">
        <v>82</v>
      </c>
      <c r="B19" s="27" t="s">
        <v>67</v>
      </c>
      <c r="C19" s="32" t="n">
        <v>773.12</v>
      </c>
      <c r="D19" s="27" t="n">
        <v>3</v>
      </c>
      <c r="E19" s="12" t="n">
        <f aca="false">C19*D19</f>
        <v>2319.36</v>
      </c>
      <c r="F19" s="13" t="s">
        <v>83</v>
      </c>
    </row>
    <row r="20" customFormat="false" ht="15" hidden="false" customHeight="true" outlineLevel="0" collapsed="false">
      <c r="A20" s="11" t="s">
        <v>84</v>
      </c>
      <c r="B20" s="27" t="s">
        <v>111</v>
      </c>
      <c r="C20" s="32" t="n">
        <v>753.73</v>
      </c>
      <c r="D20" s="27" t="n">
        <v>1</v>
      </c>
      <c r="E20" s="12" t="n">
        <f aca="false">C20*D20</f>
        <v>753.73</v>
      </c>
      <c r="F20" s="13" t="s">
        <v>83</v>
      </c>
    </row>
    <row r="21" customFormat="false" ht="15" hidden="false" customHeight="true" outlineLevel="0" collapsed="false">
      <c r="A21" s="6" t="s">
        <v>85</v>
      </c>
      <c r="B21" s="6"/>
      <c r="C21" s="6"/>
      <c r="D21" s="6"/>
      <c r="E21" s="6"/>
      <c r="F21" s="6"/>
    </row>
    <row r="22" customFormat="false" ht="15" hidden="false" customHeight="true" outlineLevel="0" collapsed="false">
      <c r="A22" s="29" t="s">
        <v>86</v>
      </c>
      <c r="B22" s="30"/>
      <c r="C22" s="30"/>
      <c r="D22" s="30"/>
      <c r="E22" s="31" t="n">
        <f aca="false">E19+E20</f>
        <v>3073.09</v>
      </c>
      <c r="F22" s="30"/>
    </row>
    <row r="24" customFormat="false" ht="15" hidden="false" customHeight="true" outlineLevel="0" collapsed="false">
      <c r="A24" s="34" t="s">
        <v>87</v>
      </c>
      <c r="B24" s="34"/>
      <c r="C24" s="34"/>
      <c r="D24" s="34"/>
      <c r="E24" s="34"/>
      <c r="F24" s="34"/>
    </row>
    <row r="25" customFormat="false" ht="15" hidden="false" customHeight="true" outlineLevel="0" collapsed="false">
      <c r="A25" s="35" t="s">
        <v>60</v>
      </c>
      <c r="B25" s="35" t="s">
        <v>61</v>
      </c>
      <c r="C25" s="35" t="s">
        <v>81</v>
      </c>
      <c r="D25" s="35" t="s">
        <v>63</v>
      </c>
      <c r="E25" s="35" t="s">
        <v>64</v>
      </c>
      <c r="F25" s="35" t="s">
        <v>65</v>
      </c>
    </row>
    <row r="26" customFormat="false" ht="15" hidden="false" customHeight="true" outlineLevel="0" collapsed="false">
      <c r="A26" s="11" t="s">
        <v>88</v>
      </c>
      <c r="B26" s="27" t="s">
        <v>67</v>
      </c>
      <c r="C26" s="32" t="n">
        <v>238.55</v>
      </c>
      <c r="D26" s="27" t="n">
        <v>3</v>
      </c>
      <c r="E26" s="12" t="n">
        <f aca="false">C26*D26</f>
        <v>715.65</v>
      </c>
      <c r="F26" s="13" t="s">
        <v>89</v>
      </c>
    </row>
    <row r="27" customFormat="false" ht="15" hidden="false" customHeight="true" outlineLevel="0" collapsed="false">
      <c r="A27" s="11" t="s">
        <v>68</v>
      </c>
      <c r="B27" s="27" t="s">
        <v>111</v>
      </c>
      <c r="C27" s="32" t="n">
        <v>231.4</v>
      </c>
      <c r="D27" s="27" t="n">
        <v>1</v>
      </c>
      <c r="E27" s="12" t="n">
        <f aca="false">C27*D27</f>
        <v>231.4</v>
      </c>
      <c r="F27" s="13" t="s">
        <v>89</v>
      </c>
    </row>
    <row r="28" customFormat="false" ht="15" hidden="false" customHeight="true" outlineLevel="0" collapsed="false">
      <c r="A28" s="6" t="s">
        <v>90</v>
      </c>
      <c r="B28" s="6"/>
      <c r="C28" s="6"/>
      <c r="D28" s="6"/>
      <c r="E28" s="6"/>
      <c r="F28" s="6"/>
    </row>
    <row r="29" customFormat="false" ht="15" hidden="false" customHeight="true" outlineLevel="0" collapsed="false">
      <c r="A29" s="29" t="s">
        <v>91</v>
      </c>
      <c r="B29" s="30"/>
      <c r="C29" s="30"/>
      <c r="D29" s="30"/>
      <c r="E29" s="31" t="n">
        <f aca="false">E26+E27</f>
        <v>947.05</v>
      </c>
      <c r="F29" s="30"/>
    </row>
    <row r="31" customFormat="false" ht="15" hidden="false" customHeight="true" outlineLevel="0" collapsed="false">
      <c r="A31" s="34" t="s">
        <v>92</v>
      </c>
      <c r="B31" s="34"/>
      <c r="C31" s="34"/>
      <c r="D31" s="34"/>
      <c r="E31" s="34"/>
      <c r="F31" s="34"/>
    </row>
    <row r="32" customFormat="false" ht="15" hidden="false" customHeight="true" outlineLevel="0" collapsed="false">
      <c r="A32" s="35" t="s">
        <v>60</v>
      </c>
      <c r="B32" s="35" t="s">
        <v>61</v>
      </c>
      <c r="C32" s="35" t="s">
        <v>81</v>
      </c>
      <c r="D32" s="35" t="s">
        <v>63</v>
      </c>
      <c r="E32" s="35" t="s">
        <v>64</v>
      </c>
      <c r="F32" s="35" t="s">
        <v>65</v>
      </c>
    </row>
    <row r="33" customFormat="false" ht="15" hidden="false" customHeight="true" outlineLevel="0" collapsed="false">
      <c r="A33" s="11" t="s">
        <v>88</v>
      </c>
      <c r="B33" s="27" t="s">
        <v>67</v>
      </c>
      <c r="C33" s="32" t="n">
        <v>206.27</v>
      </c>
      <c r="D33" s="27" t="n">
        <v>3</v>
      </c>
      <c r="E33" s="12" t="n">
        <f aca="false">C33*D33</f>
        <v>618.81</v>
      </c>
      <c r="F33" s="13" t="s">
        <v>93</v>
      </c>
    </row>
    <row r="34" customFormat="false" ht="15" hidden="false" customHeight="true" outlineLevel="0" collapsed="false">
      <c r="A34" s="11" t="s">
        <v>68</v>
      </c>
      <c r="B34" s="27" t="s">
        <v>111</v>
      </c>
      <c r="C34" s="32" t="n">
        <v>200.08</v>
      </c>
      <c r="D34" s="27" t="n">
        <v>1</v>
      </c>
      <c r="E34" s="12" t="n">
        <f aca="false">C34*D34</f>
        <v>200.08</v>
      </c>
      <c r="F34" s="13" t="s">
        <v>93</v>
      </c>
    </row>
    <row r="35" customFormat="false" ht="25.5" hidden="false" customHeight="true" outlineLevel="0" collapsed="false">
      <c r="A35" s="6" t="s">
        <v>94</v>
      </c>
      <c r="B35" s="6"/>
      <c r="C35" s="6"/>
      <c r="D35" s="6"/>
      <c r="E35" s="6"/>
      <c r="F35" s="6"/>
    </row>
    <row r="36" customFormat="false" ht="15" hidden="false" customHeight="true" outlineLevel="0" collapsed="false">
      <c r="A36" s="29" t="s">
        <v>95</v>
      </c>
      <c r="B36" s="30"/>
      <c r="C36" s="30"/>
      <c r="D36" s="30"/>
      <c r="E36" s="31" t="n">
        <f aca="false">E33+E34</f>
        <v>818.89</v>
      </c>
      <c r="F36" s="30"/>
    </row>
    <row r="38" customFormat="false" ht="15" hidden="false" customHeight="true" outlineLevel="0" collapsed="false">
      <c r="A38" s="34" t="s">
        <v>96</v>
      </c>
      <c r="B38" s="34"/>
      <c r="C38" s="34"/>
      <c r="D38" s="34"/>
      <c r="E38" s="34"/>
      <c r="F38" s="34"/>
    </row>
    <row r="39" customFormat="false" ht="26.25" hidden="false" customHeight="true" outlineLevel="0" collapsed="false">
      <c r="A39" s="35" t="s">
        <v>16</v>
      </c>
      <c r="B39" s="35" t="s">
        <v>97</v>
      </c>
      <c r="C39" s="35" t="s">
        <v>98</v>
      </c>
      <c r="D39" s="35"/>
      <c r="E39" s="35" t="s">
        <v>99</v>
      </c>
      <c r="F39" s="35"/>
    </row>
    <row r="40" customFormat="false" ht="15" hidden="false" customHeight="true" outlineLevel="0" collapsed="false">
      <c r="A40" s="11" t="s">
        <v>88</v>
      </c>
      <c r="B40" s="28" t="n">
        <v>55</v>
      </c>
      <c r="C40" s="27" t="n">
        <v>3</v>
      </c>
      <c r="D40" s="14"/>
      <c r="E40" s="12" t="n">
        <f aca="false">B40*C40*8</f>
        <v>1320</v>
      </c>
      <c r="F40" s="14"/>
    </row>
    <row r="41" customFormat="false" ht="15" hidden="false" customHeight="true" outlineLevel="0" collapsed="false">
      <c r="A41" s="11" t="s">
        <v>68</v>
      </c>
      <c r="B41" s="28" t="n">
        <v>35</v>
      </c>
      <c r="C41" s="27" t="n">
        <v>1</v>
      </c>
      <c r="D41" s="14"/>
      <c r="E41" s="12" t="n">
        <f aca="false">B41*C41*8</f>
        <v>280</v>
      </c>
      <c r="F41" s="14"/>
    </row>
    <row r="42" customFormat="false" ht="15" hidden="false" customHeight="true" outlineLevel="0" collapsed="false">
      <c r="A42" s="29" t="s">
        <v>100</v>
      </c>
      <c r="B42" s="30"/>
      <c r="C42" s="30"/>
      <c r="D42" s="30"/>
      <c r="E42" s="31" t="n">
        <f aca="false">E40+E41</f>
        <v>1600</v>
      </c>
      <c r="F42" s="30"/>
    </row>
    <row r="44" customFormat="false" ht="15" hidden="false" customHeight="true" outlineLevel="0" collapsed="false">
      <c r="A44" s="34" t="s">
        <v>101</v>
      </c>
      <c r="B44" s="34"/>
      <c r="C44" s="34"/>
      <c r="D44" s="34"/>
      <c r="E44" s="34"/>
      <c r="F44" s="34"/>
    </row>
    <row r="45" customFormat="false" ht="15" hidden="false" customHeight="true" outlineLevel="0" collapsed="false">
      <c r="A45" s="35" t="s">
        <v>16</v>
      </c>
      <c r="B45" s="35" t="s">
        <v>102</v>
      </c>
      <c r="C45" s="35"/>
      <c r="D45" s="35"/>
      <c r="E45" s="35"/>
      <c r="F45" s="35"/>
    </row>
    <row r="46" customFormat="false" ht="15" hidden="false" customHeight="true" outlineLevel="0" collapsed="false">
      <c r="A46" s="11" t="s">
        <v>103</v>
      </c>
      <c r="B46" s="28" t="n">
        <v>70</v>
      </c>
      <c r="C46" s="14"/>
      <c r="D46" s="14"/>
      <c r="E46" s="14"/>
      <c r="F46" s="14"/>
    </row>
    <row r="47" customFormat="false" ht="15" hidden="false" customHeight="true" outlineLevel="0" collapsed="false">
      <c r="A47" s="11" t="s">
        <v>104</v>
      </c>
      <c r="B47" s="28" t="n">
        <v>110</v>
      </c>
      <c r="C47" s="14"/>
      <c r="D47" s="14"/>
      <c r="E47" s="14"/>
      <c r="F47" s="14"/>
    </row>
    <row r="48" customFormat="false" ht="15" hidden="false" customHeight="true" outlineLevel="0" collapsed="false">
      <c r="A48" s="11" t="s">
        <v>105</v>
      </c>
      <c r="B48" s="28" t="n">
        <v>200</v>
      </c>
      <c r="C48" s="14"/>
      <c r="D48" s="14"/>
      <c r="E48" s="14"/>
      <c r="F48" s="14"/>
    </row>
    <row r="49" customFormat="false" ht="15" hidden="false" customHeight="true" outlineLevel="0" collapsed="false">
      <c r="A49" s="11" t="s">
        <v>106</v>
      </c>
      <c r="B49" s="28" t="n">
        <v>100</v>
      </c>
      <c r="C49" s="14"/>
      <c r="D49" s="14"/>
      <c r="E49" s="14"/>
      <c r="F49" s="14"/>
    </row>
    <row r="50" customFormat="false" ht="15" hidden="false" customHeight="true" outlineLevel="0" collapsed="false">
      <c r="A50" s="29" t="s">
        <v>107</v>
      </c>
      <c r="B50" s="31" t="n">
        <f aca="false">SUM(B46:B49)</f>
        <v>480</v>
      </c>
      <c r="C50" s="30"/>
      <c r="D50" s="30"/>
      <c r="E50" s="30"/>
      <c r="F50" s="30"/>
    </row>
    <row r="52" customFormat="false" ht="15" hidden="false" customHeight="true" outlineLevel="0" collapsed="false">
      <c r="A52" s="15" t="s">
        <v>113</v>
      </c>
      <c r="B52" s="17"/>
      <c r="C52" s="17"/>
      <c r="D52" s="17"/>
      <c r="E52" s="16" t="n">
        <f aca="false">E9+F15+E22+E29+E36+E42+B50</f>
        <v>12199.03</v>
      </c>
      <c r="F52" s="17"/>
    </row>
  </sheetData>
  <mergeCells count="14">
    <mergeCell ref="A1:F1"/>
    <mergeCell ref="A2:F2"/>
    <mergeCell ref="A4:F4"/>
    <mergeCell ref="A8:F8"/>
    <mergeCell ref="A11:F11"/>
    <mergeCell ref="A14:E14"/>
    <mergeCell ref="A17:F17"/>
    <mergeCell ref="A21:F21"/>
    <mergeCell ref="A24:F24"/>
    <mergeCell ref="A28:F28"/>
    <mergeCell ref="A31:F31"/>
    <mergeCell ref="A35:F35"/>
    <mergeCell ref="A38:F38"/>
    <mergeCell ref="A44:F44"/>
  </mergeCells>
  <hyperlinks>
    <hyperlink ref="F6" r:id="rId1" display="Avianca — reservar"/>
    <hyperlink ref="F7" r:id="rId2" display="Avianca — reservar"/>
    <hyperlink ref="F14" r:id="rId3" display="DoubleTree — reservar"/>
    <hyperlink ref="F19" r:id="rId4" display="Disney — comprar"/>
    <hyperlink ref="F20" r:id="rId5" display="Disney — comprar"/>
    <hyperlink ref="F26" r:id="rId6" display="Universal — comprar"/>
    <hyperlink ref="F27" r:id="rId7" display="Universal — comprar"/>
    <hyperlink ref="F33" r:id="rId8" display="Epic Universe — comprar"/>
    <hyperlink ref="F34" r:id="rId9" display="Epic Universe — compra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2"/>
    <col collapsed="false" customWidth="true" hidden="false" outlineLevel="0" max="3" min="3" style="1" width="30"/>
    <col collapsed="false" customWidth="true" hidden="false" outlineLevel="0" max="4" min="4" style="1" width="55"/>
    <col collapsed="false" customWidth="true" hidden="false" outlineLevel="0" max="5" min="5" style="1" width="40"/>
  </cols>
  <sheetData>
    <row r="1" customFormat="false" ht="17.25" hidden="false" customHeight="true" outlineLevel="0" collapsed="false">
      <c r="A1" s="2" t="s">
        <v>114</v>
      </c>
      <c r="B1" s="2"/>
      <c r="C1" s="2"/>
      <c r="D1" s="2"/>
      <c r="E1" s="2"/>
    </row>
    <row r="2" customFormat="false" ht="15" hidden="false" customHeight="true" outlineLevel="0" collapsed="false">
      <c r="A2" s="24" t="s">
        <v>115</v>
      </c>
      <c r="B2" s="24"/>
      <c r="C2" s="24"/>
      <c r="D2" s="24"/>
      <c r="E2" s="24"/>
    </row>
    <row r="4" customFormat="false" ht="15" hidden="false" customHeight="true" outlineLevel="0" collapsed="false">
      <c r="A4" s="26" t="s">
        <v>116</v>
      </c>
      <c r="B4" s="26" t="s">
        <v>117</v>
      </c>
      <c r="C4" s="26" t="s">
        <v>118</v>
      </c>
      <c r="D4" s="26" t="s">
        <v>119</v>
      </c>
      <c r="E4" s="26" t="s">
        <v>120</v>
      </c>
    </row>
    <row r="5" customFormat="false" ht="30" hidden="false" customHeight="true" outlineLevel="0" collapsed="false">
      <c r="A5" s="36" t="n">
        <v>1</v>
      </c>
      <c r="B5" s="36" t="s">
        <v>121</v>
      </c>
      <c r="C5" s="37" t="s">
        <v>122</v>
      </c>
      <c r="D5" s="38" t="s">
        <v>123</v>
      </c>
      <c r="E5" s="39"/>
    </row>
    <row r="6" customFormat="false" ht="84.75" hidden="false" customHeight="true" outlineLevel="0" collapsed="false">
      <c r="A6" s="36" t="n">
        <v>2</v>
      </c>
      <c r="B6" s="36" t="s">
        <v>124</v>
      </c>
      <c r="C6" s="37" t="s">
        <v>125</v>
      </c>
      <c r="D6" s="38" t="s">
        <v>126</v>
      </c>
      <c r="E6" s="39" t="s">
        <v>127</v>
      </c>
    </row>
    <row r="7" customFormat="false" ht="84.75" hidden="false" customHeight="true" outlineLevel="0" collapsed="false">
      <c r="A7" s="36" t="n">
        <v>3</v>
      </c>
      <c r="B7" s="36" t="s">
        <v>128</v>
      </c>
      <c r="C7" s="37" t="s">
        <v>129</v>
      </c>
      <c r="D7" s="38" t="s">
        <v>130</v>
      </c>
      <c r="E7" s="39" t="s">
        <v>131</v>
      </c>
    </row>
    <row r="8" customFormat="false" ht="84.75" hidden="false" customHeight="true" outlineLevel="0" collapsed="false">
      <c r="A8" s="36" t="n">
        <v>4</v>
      </c>
      <c r="B8" s="36" t="s">
        <v>132</v>
      </c>
      <c r="C8" s="37" t="s">
        <v>133</v>
      </c>
      <c r="D8" s="38" t="s">
        <v>134</v>
      </c>
      <c r="E8" s="39" t="s">
        <v>135</v>
      </c>
    </row>
    <row r="9" customFormat="false" ht="84.75" hidden="false" customHeight="true" outlineLevel="0" collapsed="false">
      <c r="A9" s="36" t="n">
        <v>5</v>
      </c>
      <c r="B9" s="36" t="s">
        <v>136</v>
      </c>
      <c r="C9" s="37" t="s">
        <v>137</v>
      </c>
      <c r="D9" s="38" t="s">
        <v>138</v>
      </c>
      <c r="E9" s="39" t="s">
        <v>139</v>
      </c>
    </row>
    <row r="10" customFormat="false" ht="84.75" hidden="false" customHeight="true" outlineLevel="0" collapsed="false">
      <c r="A10" s="36" t="n">
        <v>6</v>
      </c>
      <c r="B10" s="36" t="s">
        <v>140</v>
      </c>
      <c r="C10" s="37" t="s">
        <v>141</v>
      </c>
      <c r="D10" s="38" t="s">
        <v>142</v>
      </c>
      <c r="E10" s="39" t="s">
        <v>143</v>
      </c>
    </row>
    <row r="11" customFormat="false" ht="84.75" hidden="false" customHeight="true" outlineLevel="0" collapsed="false">
      <c r="A11" s="36" t="n">
        <v>7</v>
      </c>
      <c r="B11" s="36" t="s">
        <v>144</v>
      </c>
      <c r="C11" s="37" t="s">
        <v>145</v>
      </c>
      <c r="D11" s="38" t="s">
        <v>146</v>
      </c>
      <c r="E11" s="39" t="s">
        <v>147</v>
      </c>
    </row>
    <row r="12" customFormat="false" ht="30" hidden="false" customHeight="true" outlineLevel="0" collapsed="false">
      <c r="A12" s="36" t="n">
        <v>8</v>
      </c>
      <c r="B12" s="36" t="s">
        <v>148</v>
      </c>
      <c r="C12" s="37" t="s">
        <v>149</v>
      </c>
      <c r="D12" s="38" t="s">
        <v>123</v>
      </c>
      <c r="E12" s="39"/>
    </row>
    <row r="13" customFormat="false" ht="30" hidden="false" customHeight="true" outlineLevel="0" collapsed="false">
      <c r="A13" s="36"/>
      <c r="B13" s="36" t="s">
        <v>150</v>
      </c>
      <c r="C13" s="37" t="s">
        <v>151</v>
      </c>
      <c r="D13" s="38" t="s">
        <v>152</v>
      </c>
      <c r="E13" s="39"/>
    </row>
    <row r="15" customFormat="false" ht="30" hidden="false" customHeight="true" outlineLevel="0" collapsed="false">
      <c r="A15" s="6" t="s">
        <v>153</v>
      </c>
      <c r="B15" s="6"/>
      <c r="C15" s="6"/>
      <c r="D15" s="6"/>
      <c r="E15" s="6"/>
    </row>
  </sheetData>
  <mergeCells count="3">
    <mergeCell ref="A1:E1"/>
    <mergeCell ref="A2:E2"/>
    <mergeCell ref="A15:E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2"/>
    <col collapsed="false" customWidth="true" hidden="false" outlineLevel="0" max="3" min="3" style="1" width="30"/>
    <col collapsed="false" customWidth="true" hidden="false" outlineLevel="0" max="4" min="4" style="1" width="55"/>
    <col collapsed="false" customWidth="true" hidden="false" outlineLevel="0" max="5" min="5" style="1" width="40"/>
  </cols>
  <sheetData>
    <row r="1" customFormat="false" ht="17.25" hidden="false" customHeight="true" outlineLevel="0" collapsed="false">
      <c r="A1" s="2" t="s">
        <v>154</v>
      </c>
      <c r="B1" s="2"/>
      <c r="C1" s="2"/>
      <c r="D1" s="2"/>
      <c r="E1" s="2"/>
    </row>
    <row r="2" customFormat="false" ht="15" hidden="false" customHeight="true" outlineLevel="0" collapsed="false">
      <c r="A2" s="24" t="s">
        <v>155</v>
      </c>
      <c r="B2" s="24"/>
      <c r="C2" s="24"/>
      <c r="D2" s="24"/>
      <c r="E2" s="24"/>
    </row>
    <row r="4" customFormat="false" ht="15" hidden="false" customHeight="true" outlineLevel="0" collapsed="false">
      <c r="A4" s="35" t="s">
        <v>116</v>
      </c>
      <c r="B4" s="35" t="s">
        <v>117</v>
      </c>
      <c r="C4" s="35" t="s">
        <v>118</v>
      </c>
      <c r="D4" s="35" t="s">
        <v>119</v>
      </c>
      <c r="E4" s="35" t="s">
        <v>120</v>
      </c>
    </row>
    <row r="5" customFormat="false" ht="30" hidden="false" customHeight="true" outlineLevel="0" collapsed="false">
      <c r="A5" s="36" t="n">
        <v>1</v>
      </c>
      <c r="B5" s="36" t="s">
        <v>121</v>
      </c>
      <c r="C5" s="37" t="s">
        <v>122</v>
      </c>
      <c r="D5" s="38" t="s">
        <v>123</v>
      </c>
      <c r="E5" s="39"/>
    </row>
    <row r="6" customFormat="false" ht="84.75" hidden="false" customHeight="true" outlineLevel="0" collapsed="false">
      <c r="A6" s="36" t="n">
        <v>2</v>
      </c>
      <c r="B6" s="36" t="s">
        <v>124</v>
      </c>
      <c r="C6" s="37" t="s">
        <v>125</v>
      </c>
      <c r="D6" s="38" t="s">
        <v>156</v>
      </c>
      <c r="E6" s="39" t="s">
        <v>157</v>
      </c>
    </row>
    <row r="7" customFormat="false" ht="84.75" hidden="false" customHeight="true" outlineLevel="0" collapsed="false">
      <c r="A7" s="36" t="n">
        <v>3</v>
      </c>
      <c r="B7" s="36" t="s">
        <v>128</v>
      </c>
      <c r="C7" s="37" t="s">
        <v>129</v>
      </c>
      <c r="D7" s="38" t="s">
        <v>158</v>
      </c>
      <c r="E7" s="39" t="s">
        <v>159</v>
      </c>
    </row>
    <row r="8" customFormat="false" ht="84.75" hidden="false" customHeight="true" outlineLevel="0" collapsed="false">
      <c r="A8" s="36" t="n">
        <v>4</v>
      </c>
      <c r="B8" s="36" t="s">
        <v>132</v>
      </c>
      <c r="C8" s="37" t="s">
        <v>133</v>
      </c>
      <c r="D8" s="38" t="s">
        <v>160</v>
      </c>
      <c r="E8" s="39" t="s">
        <v>161</v>
      </c>
    </row>
    <row r="9" customFormat="false" ht="84.75" hidden="false" customHeight="true" outlineLevel="0" collapsed="false">
      <c r="A9" s="36" t="n">
        <v>5</v>
      </c>
      <c r="B9" s="36" t="s">
        <v>136</v>
      </c>
      <c r="C9" s="37" t="s">
        <v>137</v>
      </c>
      <c r="D9" s="38" t="s">
        <v>162</v>
      </c>
      <c r="E9" s="39" t="s">
        <v>163</v>
      </c>
    </row>
    <row r="10" customFormat="false" ht="84.75" hidden="false" customHeight="true" outlineLevel="0" collapsed="false">
      <c r="A10" s="36" t="n">
        <v>6</v>
      </c>
      <c r="B10" s="36" t="s">
        <v>140</v>
      </c>
      <c r="C10" s="37" t="s">
        <v>141</v>
      </c>
      <c r="D10" s="38" t="s">
        <v>164</v>
      </c>
      <c r="E10" s="39" t="s">
        <v>165</v>
      </c>
    </row>
    <row r="11" customFormat="false" ht="84.75" hidden="false" customHeight="true" outlineLevel="0" collapsed="false">
      <c r="A11" s="36" t="n">
        <v>7</v>
      </c>
      <c r="B11" s="36" t="s">
        <v>144</v>
      </c>
      <c r="C11" s="37" t="s">
        <v>145</v>
      </c>
      <c r="D11" s="38" t="s">
        <v>166</v>
      </c>
      <c r="E11" s="39" t="s">
        <v>167</v>
      </c>
    </row>
    <row r="12" customFormat="false" ht="30" hidden="false" customHeight="true" outlineLevel="0" collapsed="false">
      <c r="A12" s="36" t="n">
        <v>8</v>
      </c>
      <c r="B12" s="36" t="s">
        <v>148</v>
      </c>
      <c r="C12" s="37" t="s">
        <v>149</v>
      </c>
      <c r="D12" s="38" t="s">
        <v>123</v>
      </c>
      <c r="E12" s="39"/>
    </row>
    <row r="13" customFormat="false" ht="30" hidden="false" customHeight="true" outlineLevel="0" collapsed="false">
      <c r="A13" s="36"/>
      <c r="B13" s="36" t="s">
        <v>150</v>
      </c>
      <c r="C13" s="37" t="s">
        <v>151</v>
      </c>
      <c r="D13" s="38" t="s">
        <v>152</v>
      </c>
      <c r="E13" s="39"/>
    </row>
    <row r="15" customFormat="false" ht="30" hidden="false" customHeight="true" outlineLevel="0" collapsed="false">
      <c r="A15" s="6" t="s">
        <v>153</v>
      </c>
      <c r="B15" s="6"/>
      <c r="C15" s="6"/>
      <c r="D15" s="6"/>
      <c r="E15" s="6"/>
    </row>
  </sheetData>
  <mergeCells count="3">
    <mergeCell ref="A1:E1"/>
    <mergeCell ref="A2:E2"/>
    <mergeCell ref="A15:E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22"/>
    <col collapsed="false" customWidth="true" hidden="false" outlineLevel="0" max="5" min="5" style="1" width="30"/>
  </cols>
  <sheetData>
    <row r="1" customFormat="false" ht="17.25" hidden="false" customHeight="true" outlineLevel="0" collapsed="false">
      <c r="A1" s="2" t="s">
        <v>168</v>
      </c>
      <c r="B1" s="2"/>
      <c r="C1" s="2"/>
      <c r="D1" s="2"/>
      <c r="E1" s="2"/>
    </row>
    <row r="2" customFormat="false" ht="25.5" hidden="false" customHeight="true" outlineLevel="0" collapsed="false">
      <c r="A2" s="6" t="s">
        <v>169</v>
      </c>
      <c r="B2" s="6"/>
      <c r="C2" s="6"/>
      <c r="D2" s="6"/>
      <c r="E2" s="6"/>
    </row>
    <row r="4" customFormat="false" ht="31.5" hidden="false" customHeight="true" outlineLevel="0" collapsed="false">
      <c r="A4" s="14"/>
      <c r="B4" s="40" t="s">
        <v>170</v>
      </c>
      <c r="C4" s="41" t="s">
        <v>171</v>
      </c>
      <c r="D4" s="42" t="s">
        <v>172</v>
      </c>
      <c r="E4" s="14"/>
    </row>
    <row r="5" customFormat="false" ht="33.75" hidden="false" customHeight="true" outlineLevel="0" collapsed="false">
      <c r="A5" s="37" t="s">
        <v>173</v>
      </c>
      <c r="B5" s="38" t="s">
        <v>174</v>
      </c>
      <c r="C5" s="38" t="s">
        <v>175</v>
      </c>
      <c r="D5" s="38" t="s">
        <v>176</v>
      </c>
      <c r="E5" s="43"/>
    </row>
    <row r="6" customFormat="false" ht="33.75" hidden="false" customHeight="true" outlineLevel="0" collapsed="false">
      <c r="A6" s="37" t="s">
        <v>177</v>
      </c>
      <c r="B6" s="38" t="s">
        <v>178</v>
      </c>
      <c r="C6" s="38" t="s">
        <v>179</v>
      </c>
      <c r="D6" s="38" t="s">
        <v>180</v>
      </c>
      <c r="E6" s="43"/>
    </row>
    <row r="7" customFormat="false" ht="33.75" hidden="false" customHeight="true" outlineLevel="0" collapsed="false">
      <c r="A7" s="37" t="s">
        <v>181</v>
      </c>
      <c r="B7" s="38" t="s">
        <v>182</v>
      </c>
      <c r="C7" s="38" t="s">
        <v>183</v>
      </c>
      <c r="D7" s="38" t="s">
        <v>184</v>
      </c>
      <c r="E7" s="43"/>
    </row>
    <row r="8" customFormat="false" ht="33.75" hidden="false" customHeight="true" outlineLevel="0" collapsed="false">
      <c r="A8" s="37" t="s">
        <v>185</v>
      </c>
      <c r="B8" s="38" t="s">
        <v>186</v>
      </c>
      <c r="C8" s="38" t="s">
        <v>187</v>
      </c>
      <c r="D8" s="38" t="s">
        <v>188</v>
      </c>
      <c r="E8" s="43"/>
    </row>
    <row r="9" customFormat="false" ht="33.75" hidden="false" customHeight="true" outlineLevel="0" collapsed="false">
      <c r="A9" s="37" t="s">
        <v>189</v>
      </c>
      <c r="B9" s="38" t="s">
        <v>190</v>
      </c>
      <c r="C9" s="38" t="s">
        <v>191</v>
      </c>
      <c r="D9" s="38" t="s">
        <v>192</v>
      </c>
      <c r="E9" s="43"/>
    </row>
    <row r="10" customFormat="false" ht="33.75" hidden="false" customHeight="true" outlineLevel="0" collapsed="false">
      <c r="A10" s="37" t="s">
        <v>193</v>
      </c>
      <c r="B10" s="38" t="s">
        <v>194</v>
      </c>
      <c r="C10" s="38" t="s">
        <v>194</v>
      </c>
      <c r="D10" s="38" t="s">
        <v>194</v>
      </c>
      <c r="E10" s="43"/>
    </row>
    <row r="11" customFormat="false" ht="33.75" hidden="false" customHeight="true" outlineLevel="0" collapsed="false">
      <c r="A11" s="37" t="s">
        <v>195</v>
      </c>
      <c r="B11" s="38" t="s">
        <v>196</v>
      </c>
      <c r="C11" s="38" t="s">
        <v>196</v>
      </c>
      <c r="D11" s="38" t="s">
        <v>197</v>
      </c>
      <c r="E11" s="43"/>
    </row>
    <row r="13" customFormat="false" ht="15" hidden="false" customHeight="true" outlineLevel="0" collapsed="false">
      <c r="A13" s="7" t="s">
        <v>198</v>
      </c>
      <c r="B13" s="7"/>
      <c r="C13" s="7"/>
      <c r="D13" s="7"/>
      <c r="E13" s="7"/>
    </row>
    <row r="14" customFormat="false" ht="15" hidden="false" customHeight="true" outlineLevel="0" collapsed="false">
      <c r="A14" s="10" t="s">
        <v>16</v>
      </c>
      <c r="B14" s="10" t="s">
        <v>199</v>
      </c>
      <c r="C14" s="10" t="s">
        <v>200</v>
      </c>
      <c r="D14" s="10" t="s">
        <v>201</v>
      </c>
      <c r="E14" s="10"/>
    </row>
    <row r="15" customFormat="false" ht="15" hidden="false" customHeight="true" outlineLevel="0" collapsed="false">
      <c r="A15" s="11" t="s">
        <v>202</v>
      </c>
      <c r="B15" s="28" t="n">
        <v>808</v>
      </c>
      <c r="C15" s="28" t="n">
        <v>320</v>
      </c>
      <c r="D15" s="28" t="n">
        <v>320</v>
      </c>
      <c r="E15" s="14"/>
    </row>
    <row r="16" customFormat="false" ht="15" hidden="false" customHeight="true" outlineLevel="0" collapsed="false">
      <c r="A16" s="11" t="s">
        <v>203</v>
      </c>
      <c r="B16" s="28" t="n">
        <v>15</v>
      </c>
      <c r="C16" s="28" t="n">
        <v>0</v>
      </c>
      <c r="D16" s="28" t="n">
        <v>45</v>
      </c>
    </row>
    <row r="17" customFormat="false" ht="15" hidden="false" customHeight="true" outlineLevel="0" collapsed="false">
      <c r="A17" s="11" t="s">
        <v>76</v>
      </c>
      <c r="B17" s="27" t="n">
        <v>8</v>
      </c>
      <c r="C17" s="27" t="n">
        <v>8</v>
      </c>
      <c r="D17" s="27" t="n">
        <v>8</v>
      </c>
    </row>
    <row r="18" customFormat="false" ht="15" hidden="false" customHeight="true" outlineLevel="0" collapsed="false">
      <c r="A18" s="29" t="s">
        <v>204</v>
      </c>
      <c r="B18" s="31" t="n">
        <f aca="false">(B15+15)*B17 + B15*B17</f>
        <v>13048</v>
      </c>
      <c r="C18" s="31" t="n">
        <f aca="false">(C15+C16)*C17*2</f>
        <v>5120</v>
      </c>
      <c r="D18" s="31" t="n">
        <f aca="false">(D15+D16)*D17*2</f>
        <v>5840</v>
      </c>
      <c r="E18" s="30"/>
    </row>
    <row r="20" customFormat="false" ht="15" hidden="false" customHeight="true" outlineLevel="0" collapsed="false">
      <c r="A20" s="7" t="s">
        <v>205</v>
      </c>
      <c r="B20" s="7"/>
      <c r="C20" s="7"/>
      <c r="D20" s="7"/>
      <c r="E20" s="7"/>
    </row>
    <row r="21" customFormat="false" ht="15" hidden="false" customHeight="true" outlineLevel="0" collapsed="false">
      <c r="A21" s="11" t="s">
        <v>206</v>
      </c>
      <c r="B21" s="28" t="n">
        <v>0</v>
      </c>
      <c r="C21" s="28" t="n">
        <v>0</v>
      </c>
      <c r="D21" s="12" t="n">
        <f aca="false">4*2*35</f>
        <v>280</v>
      </c>
      <c r="E21" s="14"/>
    </row>
    <row r="22" customFormat="false" ht="15" hidden="false" customHeight="true" outlineLevel="0" collapsed="false">
      <c r="A22" s="11" t="s">
        <v>207</v>
      </c>
      <c r="B22" s="12" t="n">
        <f aca="false">2*2*35</f>
        <v>140</v>
      </c>
      <c r="C22" s="12" t="n">
        <f aca="false">2*2*35</f>
        <v>140</v>
      </c>
      <c r="D22" s="12" t="n">
        <f aca="false">2*2*35</f>
        <v>140</v>
      </c>
      <c r="E22" s="14"/>
    </row>
    <row r="23" customFormat="false" ht="15" hidden="false" customHeight="true" outlineLevel="0" collapsed="false">
      <c r="A23" s="29" t="s">
        <v>208</v>
      </c>
      <c r="B23" s="31" t="n">
        <f aca="false">B21+B22</f>
        <v>140</v>
      </c>
      <c r="C23" s="31" t="n">
        <f aca="false">C21+C22</f>
        <v>140</v>
      </c>
      <c r="D23" s="31" t="n">
        <f aca="false">D21+D22</f>
        <v>420</v>
      </c>
      <c r="E23" s="30"/>
    </row>
    <row r="25" customFormat="false" ht="15" hidden="false" customHeight="true" outlineLevel="0" collapsed="false">
      <c r="A25" s="15" t="s">
        <v>209</v>
      </c>
      <c r="B25" s="16" t="n">
        <f aca="false">B18+B23</f>
        <v>13188</v>
      </c>
      <c r="C25" s="16" t="n">
        <f aca="false">C18+C23</f>
        <v>5260</v>
      </c>
      <c r="D25" s="16" t="n">
        <f aca="false">D18+D23</f>
        <v>6260</v>
      </c>
      <c r="E25" s="17"/>
    </row>
    <row r="26" customFormat="false" ht="15" hidden="false" customHeight="true" outlineLevel="0" collapsed="false">
      <c r="A26" s="44" t="s">
        <v>210</v>
      </c>
      <c r="B26" s="45"/>
      <c r="C26" s="46" t="n">
        <f aca="false">B25-C25</f>
        <v>7928</v>
      </c>
      <c r="D26" s="46" t="n">
        <f aca="false">B25-D25</f>
        <v>6928</v>
      </c>
      <c r="E26" s="45"/>
    </row>
    <row r="28" customFormat="false" ht="15" hidden="false" customHeight="true" outlineLevel="0" collapsed="false">
      <c r="A28" s="7" t="s">
        <v>211</v>
      </c>
      <c r="B28" s="7"/>
      <c r="C28" s="7"/>
      <c r="D28" s="7"/>
      <c r="E28" s="7"/>
    </row>
    <row r="29" customFormat="false" ht="15" hidden="false" customHeight="true" outlineLevel="0" collapsed="false">
      <c r="A29" s="13" t="s">
        <v>212</v>
      </c>
      <c r="B29" s="13" t="s">
        <v>213</v>
      </c>
      <c r="C29" s="13" t="s">
        <v>214</v>
      </c>
      <c r="D29" s="14"/>
      <c r="E29" s="14"/>
    </row>
    <row r="31" customFormat="false" ht="15" hidden="false" customHeight="true" outlineLevel="0" collapsed="false">
      <c r="A31" s="7" t="s">
        <v>215</v>
      </c>
      <c r="B31" s="7"/>
      <c r="C31" s="7"/>
      <c r="D31" s="7"/>
      <c r="E31" s="7"/>
    </row>
    <row r="32" customFormat="false" ht="30" hidden="false" customHeight="true" outlineLevel="0" collapsed="false">
      <c r="A32" s="6" t="s">
        <v>216</v>
      </c>
      <c r="B32" s="6"/>
      <c r="C32" s="6"/>
      <c r="D32" s="6"/>
      <c r="E32" s="6"/>
    </row>
    <row r="33" customFormat="false" ht="30" hidden="false" customHeight="true" outlineLevel="0" collapsed="false">
      <c r="A33" s="6" t="s">
        <v>217</v>
      </c>
      <c r="B33" s="6"/>
      <c r="C33" s="6"/>
      <c r="D33" s="6"/>
      <c r="E33" s="6"/>
    </row>
    <row r="34" customFormat="false" ht="30" hidden="false" customHeight="true" outlineLevel="0" collapsed="false">
      <c r="A34" s="6" t="s">
        <v>218</v>
      </c>
      <c r="B34" s="6"/>
      <c r="C34" s="6"/>
      <c r="D34" s="6"/>
      <c r="E34" s="6"/>
    </row>
    <row r="35" customFormat="false" ht="30" hidden="false" customHeight="true" outlineLevel="0" collapsed="false">
      <c r="A35" s="6" t="s">
        <v>219</v>
      </c>
      <c r="B35" s="6"/>
      <c r="C35" s="6"/>
      <c r="D35" s="6"/>
      <c r="E35" s="6"/>
    </row>
  </sheetData>
  <mergeCells count="10">
    <mergeCell ref="A1:E1"/>
    <mergeCell ref="A2:E2"/>
    <mergeCell ref="A13:E13"/>
    <mergeCell ref="A20:E20"/>
    <mergeCell ref="A28:E28"/>
    <mergeCell ref="A31:E31"/>
    <mergeCell ref="A32:E32"/>
    <mergeCell ref="A33:E33"/>
    <mergeCell ref="A34:E34"/>
    <mergeCell ref="A35:E35"/>
  </mergeCells>
  <hyperlinks>
    <hyperlink ref="A29" r:id="rId1" display="Disney's Art of Animation — reservar"/>
    <hyperlink ref="B29" r:id="rId2" display="DoubleTree Suites (Hilton) — reservar"/>
    <hyperlink ref="C29" r:id="rId3" display="Holiday Inn Waterpark (IHG) — reserva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2026-09-11T21:23:59Z</dcterms:created>
  <dc:creator>openpyxl</dc:creator>
  <dc:description/>
  <dc:language>en-US</dc:language>
  <cp:lastModifiedBy/>
  <dcterms:modified xsi:type="dcterms:W3CDTF">2026-09-11T21:32:46Z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